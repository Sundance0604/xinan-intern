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【持仓表】" sheetId="1" r:id="rId3"/>
    <sheet name="【资金占用积数统计表】" sheetId="2" r:id="rId4"/>
    <sheet name="【拆借成本】" sheetId="3" r:id="rId5"/>
    <sheet name=" 【资金成本】" sheetId="4" r:id="rId6"/>
    <sheet name="【餐补】" sheetId="5" r:id="rId7"/>
    <sheet name="公司债摸底" sheetId="6" r:id="rId8"/>
    <sheet name="【资金占用积数统计表】2025" sheetId="7" r:id="rId9"/>
    <sheet name="【每日新发债内评舆情查询】" sheetId="8" r:id="rId10"/>
    <sheet name="【入池进度表】" sheetId="9" r:id="rId11"/>
    <sheet name="办公用品详情" sheetId="10" r:id="rId12"/>
    <sheet name="更新关联人查询" sheetId="11" r:id="rId13"/>
  </sheets>
  <definedNames>
    <definedName name="Z_774647DF_8E7C_437D_9AD3_91F9E72D5A0E_.wvu.FilterData" localSheetId="0" hidden="1">'【持仓表】'!$N$1:$N$111</definedName>
    <definedName name="Z_E0010F73_0D65_4719_AEF0_C2FB3CD92F9D_.wvu.FilterData" localSheetId="7" hidden="1">'【每日新发债内评舆情查询】'!$A$2:$P$2</definedName>
    <definedName name="Z_801163DE_AD48_4A21_9594_C1C1C9351521_.wvu.FilterData" localSheetId="7" hidden="1">'【每日新发债内评舆情查询】'!$A$2:$P$2</definedName>
  </definedNames>
  <calcPr fullCalcOnLoad="0"/>
  <customWorkbookViews>
    <customWorkbookView name="Augety 的视图" guid="{774647DF-8E7C-437D-9AD3-91F9E72D5A0E}" maximized="1" windowWidth="1415" windowHeight="872" activeSheetId="1"/>
    <customWorkbookView name="妮儿 的视图" guid="{E0010F73-0D65-4719-AEF0-C2FB3CD92F9D}" maximized="1" windowWidth="1415" windowHeight="872" activeSheetId="8"/>
    <customWorkbookView name="妮儿 的视图 1" guid="{801163DE-AD48-4A21-9594-C1C1C9351521}" maximized="1" windowWidth="1415" windowHeight="872" activeSheetId="8"/>
  </customWorkbookViews>
</workbook>
</file>

<file path=xl/sharedStrings.xml><?xml version="1.0" encoding="utf-8"?>
<sst xmlns="http://schemas.openxmlformats.org/spreadsheetml/2006/main" count="2458" uniqueCount="2458">
  <si>
    <t/>
  </si>
  <si>
    <t>简称</t>
  </si>
  <si>
    <t>代码</t>
  </si>
  <si>
    <t>剩余年限</t>
  </si>
  <si>
    <t>票面</t>
  </si>
  <si>
    <t>买入收益率</t>
  </si>
  <si>
    <t>主体/债项评级</t>
  </si>
  <si>
    <t>舆情</t>
  </si>
  <si>
    <t>担保/非担保</t>
  </si>
  <si>
    <t>买入数量（万）</t>
  </si>
  <si>
    <t>结算金额（元）</t>
  </si>
  <si>
    <t>买入结算日</t>
  </si>
  <si>
    <t>持仓工作日（参考）</t>
  </si>
  <si>
    <t>卖出结算日</t>
  </si>
  <si>
    <t>主办人</t>
  </si>
  <si>
    <t>内评</t>
  </si>
  <si>
    <t>当日中债估值（%）</t>
  </si>
  <si>
    <t>资本利得</t>
  </si>
  <si>
    <t>每日票息</t>
  </si>
  <si>
    <t>剩余规模</t>
  </si>
  <si>
    <t>具体舆情</t>
  </si>
  <si>
    <t>部门本周资金成本</t>
  </si>
  <si>
    <t>AA持仓数量</t>
  </si>
  <si>
    <t>AA+持仓数量</t>
  </si>
  <si>
    <t>AA+结算金额</t>
  </si>
  <si>
    <t>票息总额</t>
  </si>
  <si>
    <t>每日融资收益率</t>
  </si>
  <si>
    <t>加权平均收益率</t>
  </si>
  <si>
    <t>持仓收益率</t>
  </si>
  <si>
    <t>【持仓】</t>
  </si>
  <si>
    <t>26锡南02</t>
  </si>
  <si>
    <t>283540.SH</t>
  </si>
  <si>
    <t>4.87Y</t>
  </si>
  <si>
    <t>AA+</t>
  </si>
  <si>
    <t>无</t>
  </si>
  <si>
    <t>非担保</t>
  </si>
  <si>
    <t>部门券</t>
  </si>
  <si>
    <t>26医养01</t>
  </si>
  <si>
    <t>283426.SH</t>
  </si>
  <si>
    <t>4.88Y</t>
  </si>
  <si>
    <t>26凯利建设PPN001</t>
  </si>
  <si>
    <t>032680308.IB</t>
  </si>
  <si>
    <t>4.68Y</t>
  </si>
  <si>
    <t>AA</t>
  </si>
  <si>
    <t>李新鹏</t>
  </si>
  <si>
    <t>26寿光金旭MTN004</t>
  </si>
  <si>
    <t>102602097.IB</t>
  </si>
  <si>
    <t>4.76Y</t>
  </si>
  <si>
    <t>郑一凡</t>
  </si>
  <si>
    <t>26常经01</t>
  </si>
  <si>
    <t>AAA</t>
  </si>
  <si>
    <t>25丰县01</t>
  </si>
  <si>
    <t>133971.SZ</t>
  </si>
  <si>
    <t>3.49Y</t>
  </si>
  <si>
    <t>王立德</t>
  </si>
  <si>
    <t>25金旭K1</t>
  </si>
  <si>
    <t>134630.SZ</t>
  </si>
  <si>
    <t>4.16Y</t>
  </si>
  <si>
    <t>25金旭K2</t>
  </si>
  <si>
    <t>134672.SZ</t>
  </si>
  <si>
    <t>4.19Y</t>
  </si>
  <si>
    <t>26泉汇产发MTN001B</t>
  </si>
  <si>
    <t>102682462.IB</t>
  </si>
  <si>
    <t>6.79Y</t>
  </si>
  <si>
    <t>有舆情</t>
  </si>
  <si>
    <t>山东章鼓被采取责令改正的行政监管措施</t>
  </si>
  <si>
    <t>26滨城经开MTN001</t>
  </si>
  <si>
    <t>102601974.IB</t>
  </si>
  <si>
    <t>4.56Y</t>
  </si>
  <si>
    <t>票交所违约</t>
  </si>
  <si>
    <t>26泰达投资MTN003</t>
  </si>
  <si>
    <t>102602191.IB</t>
  </si>
  <si>
    <t>2.9Y</t>
  </si>
  <si>
    <t>26金滩01</t>
  </si>
  <si>
    <t>282708.SH</t>
  </si>
  <si>
    <t>4.7Y</t>
  </si>
  <si>
    <t>25大港04</t>
  </si>
  <si>
    <t>257540.SH</t>
  </si>
  <si>
    <t>3.43Y</t>
  </si>
  <si>
    <t>25饶创02</t>
  </si>
  <si>
    <t>258799.SH</t>
  </si>
  <si>
    <t>3.72Y</t>
  </si>
  <si>
    <t>25宏河控股MTN003</t>
  </si>
  <si>
    <t>102585203.IB</t>
  </si>
  <si>
    <t>4.22Y</t>
  </si>
  <si>
    <t>26德财02</t>
  </si>
  <si>
    <t xml:space="preserve">520363.SZ </t>
  </si>
  <si>
    <t>4.85Y</t>
  </si>
  <si>
    <t>2026年7月1日票交所逾期披露：滨州市滨城区经济开发投资有限公司累计逾期17164.00万元；应公司要求，撤销滨城经开投“BBB”长期主体评级</t>
  </si>
  <si>
    <t xml:space="preserve">26钢都V1 </t>
  </si>
  <si>
    <t>282135.SH</t>
  </si>
  <si>
    <t>4.53Y</t>
  </si>
  <si>
    <t xml:space="preserve">26华澜05 </t>
  </si>
  <si>
    <t>283364.SH</t>
  </si>
  <si>
    <t>2.82Y</t>
  </si>
  <si>
    <t>25曹国07</t>
  </si>
  <si>
    <t>3.76Y</t>
  </si>
  <si>
    <t>25大港02</t>
  </si>
  <si>
    <t>3.34Y</t>
  </si>
  <si>
    <t>25万盛02</t>
  </si>
  <si>
    <t>4.18Y</t>
  </si>
  <si>
    <t>原董事长田仁禄接受审查调查</t>
  </si>
  <si>
    <t>25汴京01</t>
  </si>
  <si>
    <t>3.47Y</t>
  </si>
  <si>
    <t>26金国03</t>
  </si>
  <si>
    <t>4.95Y</t>
  </si>
  <si>
    <t>26西金01</t>
  </si>
  <si>
    <t>26宏建01</t>
  </si>
  <si>
    <t>4.90Y</t>
  </si>
  <si>
    <t>26超长特别国债04</t>
  </si>
  <si>
    <t>2600004.IB</t>
  </si>
  <si>
    <t>29.76Y</t>
  </si>
  <si>
    <t>赵梓萱</t>
  </si>
  <si>
    <t>22水发物流PPN003(项目收益)</t>
  </si>
  <si>
    <t>032200264.IB</t>
  </si>
  <si>
    <t>1.02Y+2.00Y</t>
  </si>
  <si>
    <t>25新泰02</t>
  </si>
  <si>
    <t>280937.SH</t>
  </si>
  <si>
    <t>4.21Y</t>
  </si>
  <si>
    <t>26大足01</t>
  </si>
  <si>
    <t>281557.SH</t>
  </si>
  <si>
    <t>4.35Y</t>
  </si>
  <si>
    <t>282897.SH</t>
  </si>
  <si>
    <t>4.70Y</t>
  </si>
  <si>
    <t>4.67Y</t>
  </si>
  <si>
    <t>26津投08</t>
  </si>
  <si>
    <t>9.98Y</t>
  </si>
  <si>
    <t>担保</t>
  </si>
  <si>
    <t>22惠民城建PPN007</t>
  </si>
  <si>
    <t>032281085.IB</t>
  </si>
  <si>
    <t>67D+1.00Y</t>
  </si>
  <si>
    <t>29.75Y</t>
  </si>
  <si>
    <t>26振湘01</t>
  </si>
  <si>
    <t>1.87Y</t>
  </si>
  <si>
    <t>陈珍妮</t>
  </si>
  <si>
    <t>24宝城投MTN003B</t>
  </si>
  <si>
    <t>102484847.IB</t>
  </si>
  <si>
    <t>1.12Y</t>
  </si>
  <si>
    <t>23锦生01</t>
  </si>
  <si>
    <t>43D+2.00Y</t>
  </si>
  <si>
    <t>26句容02</t>
  </si>
  <si>
    <t>26重庆铝产PPN001</t>
  </si>
  <si>
    <t>032680478.IB</t>
  </si>
  <si>
    <t>24寿光金旭PPN001</t>
  </si>
  <si>
    <t>032481133.IB</t>
  </si>
  <si>
    <t>1.05Y</t>
  </si>
  <si>
    <t>26来宾01</t>
  </si>
  <si>
    <t>4.73Y</t>
  </si>
  <si>
    <t>26寿光金旭MTN005</t>
  </si>
  <si>
    <t>102682601.IB</t>
  </si>
  <si>
    <t>4.79Y</t>
  </si>
  <si>
    <t>26昆明经开MTN001</t>
  </si>
  <si>
    <t>102682572.IB</t>
  </si>
  <si>
    <t>2.79Y</t>
  </si>
  <si>
    <t>26莲湖01</t>
  </si>
  <si>
    <t>4.66Y</t>
  </si>
  <si>
    <t>24昆高01</t>
  </si>
  <si>
    <t>1.07Y</t>
  </si>
  <si>
    <t>26陕投Y5</t>
  </si>
  <si>
    <t>4.97Y+N</t>
  </si>
  <si>
    <t>26国管K4</t>
  </si>
  <si>
    <t>9.96Y</t>
  </si>
  <si>
    <t>29.71Y</t>
  </si>
  <si>
    <t>G26荆门1</t>
  </si>
  <si>
    <t>4.67Y+2.00Y</t>
  </si>
  <si>
    <t>26钢都V1</t>
  </si>
  <si>
    <t>4.47Y</t>
  </si>
  <si>
    <t>26无锡城南PPN001</t>
  </si>
  <si>
    <t>032690011.IB</t>
  </si>
  <si>
    <t>4.89Y</t>
  </si>
  <si>
    <t>26建发Y4</t>
  </si>
  <si>
    <t>4.94Y+N</t>
  </si>
  <si>
    <t>26公用产发PPN001B</t>
  </si>
  <si>
    <t>032601592.IB</t>
  </si>
  <si>
    <t>6.66Y</t>
  </si>
  <si>
    <t>26新天01</t>
  </si>
  <si>
    <t>25莆田02</t>
  </si>
  <si>
    <t>1.36Y+2.00Y</t>
  </si>
  <si>
    <t>26蜀道投资MTN003</t>
  </si>
  <si>
    <t>102681011.IB</t>
  </si>
  <si>
    <t>2.44Y+N</t>
  </si>
  <si>
    <t>26金轨K1</t>
  </si>
  <si>
    <t>2.43Y</t>
  </si>
  <si>
    <t>24大横琴MTN005</t>
  </si>
  <si>
    <t>102481312.IB</t>
  </si>
  <si>
    <t>5.00Y</t>
  </si>
  <si>
    <t>26柳城03</t>
  </si>
  <si>
    <t>2.63Y+2.00Y</t>
  </si>
  <si>
    <t>25冶高02</t>
  </si>
  <si>
    <t>1.93Y</t>
  </si>
  <si>
    <t>25涪陵02</t>
  </si>
  <si>
    <t>5.24Y</t>
  </si>
  <si>
    <t>26昆高01</t>
  </si>
  <si>
    <t>2.89Y</t>
  </si>
  <si>
    <t>26柯桥03</t>
  </si>
  <si>
    <t>4.96Y+2.00Y</t>
  </si>
  <si>
    <t>25沣东控股PPN002</t>
  </si>
  <si>
    <t>032580655.IB</t>
  </si>
  <si>
    <t>1.01Y+3.00Y</t>
  </si>
  <si>
    <t>26协鑫发电ABN001优先04</t>
  </si>
  <si>
    <t>082680280.IB</t>
  </si>
  <si>
    <t>巩让</t>
  </si>
  <si>
    <t>26协鑫发电ABN001优先05</t>
  </si>
  <si>
    <t>082680281.IB</t>
  </si>
  <si>
    <t>26协鑫发电ABN001优先06</t>
  </si>
  <si>
    <t>082680282.IB</t>
  </si>
  <si>
    <t>26协鑫发电ABN001优先07</t>
  </si>
  <si>
    <t>082680283.IB</t>
  </si>
  <si>
    <t>【代投代缴】</t>
  </si>
  <si>
    <t xml:space="preserve"> </t>
  </si>
  <si>
    <t>26惠控03</t>
  </si>
  <si>
    <t>283945.SH</t>
  </si>
  <si>
    <t>6.97Y</t>
  </si>
  <si>
    <t>-</t>
  </si>
  <si>
    <t>26乐山02</t>
  </si>
  <si>
    <t>283993.SH</t>
  </si>
  <si>
    <t>4.98Y</t>
  </si>
  <si>
    <t>26泰控01</t>
  </si>
  <si>
    <t>520478.SZ</t>
  </si>
  <si>
    <t>4.99Y+N</t>
  </si>
  <si>
    <t>26晋能电力MTN007</t>
  </si>
  <si>
    <t>102683693.IB</t>
  </si>
  <si>
    <t>6.99Y</t>
  </si>
  <si>
    <t xml:space="preserve">26济南高新MTN008B </t>
  </si>
  <si>
    <t>102683699.IB</t>
  </si>
  <si>
    <t>9.99Y</t>
  </si>
  <si>
    <t>5.00Y+N</t>
  </si>
  <si>
    <t>26咸发03</t>
  </si>
  <si>
    <t>5Y</t>
  </si>
  <si>
    <t>26富开01</t>
  </si>
  <si>
    <t>26潍坊城建MTN002B</t>
  </si>
  <si>
    <t>102690045.IB</t>
  </si>
  <si>
    <t>26常投02</t>
  </si>
  <si>
    <t>284014.SH</t>
  </si>
  <si>
    <t>26诸建02</t>
  </si>
  <si>
    <t>26南发01</t>
  </si>
  <si>
    <t>26眉投03</t>
  </si>
  <si>
    <t>26锡铁投03</t>
  </si>
  <si>
    <t>5.00Y+5.00Y</t>
  </si>
  <si>
    <t>26济南高新MTN009B</t>
  </si>
  <si>
    <t>102683817.IB</t>
  </si>
  <si>
    <t>10.00Y</t>
  </si>
  <si>
    <t>5.00Y+2.00Y</t>
  </si>
  <si>
    <t>26同舟02</t>
  </si>
  <si>
    <t>26同舟01</t>
  </si>
  <si>
    <t>3.00Y+7.00Y</t>
  </si>
  <si>
    <t>26惠鑫01</t>
  </si>
  <si>
    <t>26赣产K1</t>
  </si>
  <si>
    <t>26九龙江MTN006</t>
  </si>
  <si>
    <t>102683859.IB</t>
  </si>
  <si>
    <t>3.00Y+N</t>
  </si>
  <si>
    <t>26哈城投MTN002</t>
  </si>
  <si>
    <t>102683863.IB</t>
  </si>
  <si>
    <t>26临空港投MTN006</t>
  </si>
  <si>
    <t>102683864.IB</t>
  </si>
  <si>
    <t>⬅</t>
  </si>
  <si>
    <t>【持仓敞口】</t>
  </si>
  <si>
    <t>➡</t>
  </si>
  <si>
    <t>【拆借】</t>
  </si>
  <si>
    <t>拆借额度【5e】</t>
  </si>
  <si>
    <t xml:space="preserve">                </t>
  </si>
  <si>
    <t>【自有资金】</t>
  </si>
  <si>
    <t>实际用资少3800w</t>
  </si>
  <si>
    <t>询价完确定结算时间后，请将债券所在行整体标红</t>
  </si>
  <si>
    <t>【拆借额度】</t>
  </si>
  <si>
    <t>日期</t>
  </si>
  <si>
    <t>销售交易部</t>
  </si>
  <si>
    <t>固收二部</t>
  </si>
  <si>
    <t>固收三部</t>
  </si>
  <si>
    <t>合计拆借额度</t>
  </si>
  <si>
    <t>周一</t>
  </si>
  <si>
    <t>周二</t>
  </si>
  <si>
    <t>周三</t>
  </si>
  <si>
    <t>周四</t>
  </si>
  <si>
    <t>周五</t>
  </si>
  <si>
    <t>周六</t>
  </si>
  <si>
    <t>周日</t>
  </si>
  <si>
    <t>黄芷晴</t>
  </si>
  <si>
    <t>.</t>
  </si>
  <si>
    <t>唐一夫</t>
  </si>
  <si>
    <t>中秋国庆假：</t>
  </si>
  <si>
    <t>场外（银行间）</t>
  </si>
  <si>
    <t>场内交易债券（除RTGS)</t>
  </si>
  <si>
    <t>RTGS</t>
  </si>
  <si>
    <t>备注</t>
  </si>
  <si>
    <t>资金占用净增加</t>
  </si>
  <si>
    <t>资金占用余额</t>
  </si>
  <si>
    <t>资金成本率</t>
  </si>
  <si>
    <t>计划内资金使用成本</t>
  </si>
  <si>
    <t xml:space="preserve"> =当日付款-当日收款</t>
  </si>
  <si>
    <t xml:space="preserve"> =当日担保交收的结算金额</t>
  </si>
  <si>
    <t xml:space="preserve"> =当日非担保私募债的结算面额</t>
  </si>
  <si>
    <t>（付款/买入为正，收款/卖出为负）</t>
  </si>
  <si>
    <t>年初数	975,479,047.50	结转后	962,228,411.50</t>
  </si>
  <si>
    <t>日间使用成本</t>
  </si>
  <si>
    <t>截至930</t>
  </si>
  <si>
    <t>调整项目</t>
  </si>
  <si>
    <t>资金成本总计</t>
  </si>
  <si>
    <t xml:space="preserve">                             -   </t>
  </si>
  <si>
    <t>（调整银行间拆借还3亿算公司）； 收深市私募债款0.1亿元（销交）； 收沪市私募债款0.25亿元（销交）。</t>
  </si>
  <si>
    <t>债券兑息253484</t>
  </si>
  <si>
    <t>（调整银行间拆借2亿算公司，温岭） 收沪市私募债款0.06亿元（销交）。</t>
  </si>
  <si>
    <t>付沪市私募债款0.26亿元（销交）；</t>
  </si>
  <si>
    <t>收沪市私募债款0.51亿元（销交）</t>
  </si>
  <si>
    <t>债券兑息257162</t>
  </si>
  <si>
    <t>收沪市私募债款0.26亿元（销交）；</t>
  </si>
  <si>
    <t xml:space="preserve">                              -   </t>
  </si>
  <si>
    <t>收沪市私募债款0.23亿元（销交）； 收深市私募债款0.3亿元（销交）；</t>
  </si>
  <si>
    <t>收沪市私募债款0.01亿元（销交）；</t>
  </si>
  <si>
    <t>收沪市私募债款0.03亿元（销交）；</t>
  </si>
  <si>
    <t>收沪市私募债款0.12亿元（销交）；收深市私募债款0.1亿元（销交）；</t>
  </si>
  <si>
    <t>付沪市私募债款0.87亿元（销交） 付深市私募债款0.3亿元（销交）</t>
  </si>
  <si>
    <t>付沪市私募债款0.16亿元（销交）。</t>
  </si>
  <si>
    <t xml:space="preserve">债券兑息271098 </t>
  </si>
  <si>
    <t>已核对</t>
  </si>
  <si>
    <t>25西港01 (258053.SH)，4/2收息，254.1万</t>
  </si>
  <si>
    <t xml:space="preserve">254483付息，1,320,000.00 </t>
  </si>
  <si>
    <t xml:space="preserve">258336付息，301,000.00 </t>
  </si>
  <si>
    <t>258413付息，213,600.00</t>
  </si>
  <si>
    <t>债券兑息254754，付息80w</t>
  </si>
  <si>
    <t>债券兑息258611，付息31w</t>
  </si>
  <si>
    <t>25津金03 付息</t>
  </si>
  <si>
    <t>券兑息25873 28w</t>
  </si>
  <si>
    <t>21天盈债01 2kw缴款</t>
  </si>
  <si>
    <t>债券兑258817 346000</t>
  </si>
  <si>
    <t>债券兑息258836 290000</t>
  </si>
  <si>
    <t>债券兑息258963 345000</t>
  </si>
  <si>
    <t>兑息-25蚌埠投资TN003 44.6w</t>
  </si>
  <si>
    <t>24郑路02 (255138.SH)付息 33w</t>
  </si>
  <si>
    <t>24眉天03，付息29.4w</t>
  </si>
  <si>
    <t>一级缴款0.2亿。（销售交易部）</t>
  </si>
  <si>
    <t>债券兑息255312，288000</t>
  </si>
  <si>
    <t>债券兑息259655 224000</t>
  </si>
  <si>
    <t>债券兑息255532 148500</t>
  </si>
  <si>
    <t>兑息259791 249000</t>
  </si>
  <si>
    <t>调整二部卖出德财10,019,854.79</t>
  </si>
  <si>
    <t>21台州债01 9kw</t>
  </si>
  <si>
    <t>债券兑息270100，251w</t>
  </si>
  <si>
    <t>22水发物流PPN003 付息60w</t>
  </si>
  <si>
    <t>占款天数</t>
  </si>
  <si>
    <t>拆入数量（万）</t>
  </si>
  <si>
    <t>利率</t>
  </si>
  <si>
    <t>拆入金额（元）</t>
  </si>
  <si>
    <t>还款金额（元）</t>
  </si>
  <si>
    <t>利息（元）</t>
  </si>
  <si>
    <t>自有资金（元）</t>
  </si>
  <si>
    <t>计划内资金年化成本率</t>
  </si>
  <si>
    <t>当资金成本</t>
  </si>
  <si>
    <t>汇总拆借成本（元）</t>
  </si>
  <si>
    <t>拆借成本</t>
  </si>
  <si>
    <t>自有基金成本</t>
  </si>
  <si>
    <t>总资金成本</t>
  </si>
  <si>
    <t>当日持仓</t>
  </si>
  <si>
    <t>融资收益率</t>
  </si>
  <si>
    <t>9/1 用资情况
总资金成本： 52,098.68
持仓敞口：   986,672,473.17
融资收益率： 1.93%</t>
  </si>
  <si>
    <t>9/2 用资情况
总资金成本： 51,847.76
持仓敞口：   982,634,410.01
融资收益率： 1.93%</t>
  </si>
  <si>
    <t>9/3 用资情况
总资金成本： 69,944.69
持仓敞口：   1,273,864,071.11
融资收益率： 2.00%</t>
  </si>
  <si>
    <t>9/3 用资情况
总资金成本： 67,000.98
持仓敞口：   1,226,491,710.98
融资收益率： 1.99%</t>
  </si>
  <si>
    <t>9/4 用资情况
总资金成本： 64,711.57
持仓敞口：   1,189,648,717.87
融资收益率： 1.99%</t>
  </si>
  <si>
    <t>9/8 用资情况
总资金成本： 70,414.85
持仓敞口：   1,200,851,259.13
融资收益率： 2.14%</t>
  </si>
  <si>
    <t>9/9 用资情况
总资金成本： 70,414.85
持仓敞口：   1,185,562,978.58
融资收益率： 2.15%</t>
  </si>
  <si>
    <t>在岗天数（已减出差）</t>
  </si>
  <si>
    <t>2026年</t>
  </si>
  <si>
    <t>电话</t>
  </si>
  <si>
    <t>公司邮箱</t>
  </si>
  <si>
    <t>7月</t>
  </si>
  <si>
    <t>8月</t>
  </si>
  <si>
    <t>9月</t>
  </si>
  <si>
    <t>10月</t>
  </si>
  <si>
    <t>11月</t>
  </si>
  <si>
    <t>12月</t>
  </si>
  <si>
    <t>1月</t>
  </si>
  <si>
    <t>2月</t>
  </si>
  <si>
    <t>3月</t>
  </si>
  <si>
    <t>4月</t>
  </si>
  <si>
    <t>5月</t>
  </si>
  <si>
    <t>6月</t>
  </si>
  <si>
    <t>【餐补合计】</t>
  </si>
  <si>
    <t>总金额</t>
  </si>
  <si>
    <t>叶天立</t>
  </si>
  <si>
    <t>娄昌龙</t>
  </si>
  <si>
    <t>赵浦乔</t>
  </si>
  <si>
    <t>郭柳蹊</t>
  </si>
  <si>
    <t>丁婉睿</t>
  </si>
  <si>
    <t>郭昱名</t>
  </si>
  <si>
    <t>汤鸿达</t>
  </si>
  <si>
    <t>欧阳竹</t>
  </si>
  <si>
    <t>序号</t>
  </si>
  <si>
    <t>中文全称</t>
  </si>
  <si>
    <t>对接人</t>
  </si>
  <si>
    <t>公司债销售人员</t>
  </si>
  <si>
    <t>反馈内容</t>
  </si>
  <si>
    <t>债券名称：西南证券股份有限公司2026年面向专业投资者公开发行公司债券（第一期）
债券简称：26西证01
债券代码：244819
发行人：西南证券股份有限公司
债券类型：公司债券
发行总规模：不超过25亿（含25亿）
主体评级/债项评级：AAA/AAA
担保形式：无担保
发行场所：上交所
---------------------
发行期限：3年
询价区间：1.50%-2.50%
---------------------
主承销商/簿记管理人：华西证券股份有限公司
簿记日：预计为2026年3月10日</t>
  </si>
  <si>
    <t>信银理财有限责任公司</t>
  </si>
  <si>
    <t>黄芷晴,郑一凡,巩让</t>
  </si>
  <si>
    <t>未分配</t>
  </si>
  <si>
    <t>兴银理财有限责任公司</t>
  </si>
  <si>
    <t>唐一夫,郑一凡,赵梓萱</t>
  </si>
  <si>
    <t>招银理财有限责任公司</t>
  </si>
  <si>
    <t>陈珍妮,黄芷晴</t>
  </si>
  <si>
    <t>工银理财有限责任公司</t>
  </si>
  <si>
    <t>唐一夫,王立德,黄芷晴</t>
  </si>
  <si>
    <t>平安理财有限责任公司</t>
  </si>
  <si>
    <t>陈珍妮,赵梓萱</t>
  </si>
  <si>
    <t>建信理财有限责任公司</t>
  </si>
  <si>
    <t>中银理财有限责任公司</t>
  </si>
  <si>
    <t>王立德,唐一夫,巩让,黄芷晴,陈珍妮</t>
  </si>
  <si>
    <t>交银理财有限责任公司</t>
  </si>
  <si>
    <t>宁银理财有限责任公司</t>
  </si>
  <si>
    <t>王立德,巩让</t>
  </si>
  <si>
    <t>光大理财有限责任公司</t>
  </si>
  <si>
    <t>黄芷晴,巩让</t>
  </si>
  <si>
    <t>青银理财有限责任公司</t>
  </si>
  <si>
    <t>浦银理财有限责任公司</t>
  </si>
  <si>
    <t>王立德,唐一夫,赵梓萱</t>
  </si>
  <si>
    <t>中邮理财有限责任公司</t>
  </si>
  <si>
    <t>唐一夫,陈珍妮</t>
  </si>
  <si>
    <t>华夏理财有限责任公司</t>
  </si>
  <si>
    <t>王立德,黄芷晴,巩让</t>
  </si>
  <si>
    <t>杭银理财有限责任公司</t>
  </si>
  <si>
    <t>唐一夫,黄芷晴</t>
  </si>
  <si>
    <t>农银理财有限责任公司</t>
  </si>
  <si>
    <t>民生理财有限责任公司</t>
  </si>
  <si>
    <t>苏银理财有限责任公司</t>
  </si>
  <si>
    <t>郑一凡,赵梓萱</t>
  </si>
  <si>
    <t>徽银理财有限责任公司</t>
  </si>
  <si>
    <t>薄记当天会投投看</t>
  </si>
  <si>
    <t>南银理财有限责任公司</t>
  </si>
  <si>
    <t>叶天立,赵梓萱</t>
  </si>
  <si>
    <t>渝农商理财有限责任公司</t>
  </si>
  <si>
    <t>叶天立,陈珍妮,赵梓萱</t>
  </si>
  <si>
    <t>上银理财有限责任公司</t>
  </si>
  <si>
    <t>北银理财有限责任公司</t>
  </si>
  <si>
    <t>叶天立,巩让,陈珍妮</t>
  </si>
  <si>
    <t>恒丰理财有限责任公司</t>
  </si>
  <si>
    <t>渤银理财有限责任公司</t>
  </si>
  <si>
    <t>郑一凡,巩让</t>
  </si>
  <si>
    <t>汇华理财有限公司</t>
  </si>
  <si>
    <t>广银理财有限责任公司</t>
  </si>
  <si>
    <t>郑一凡,陈珍妮</t>
  </si>
  <si>
    <t>贝莱德建信理财有限责任公司</t>
  </si>
  <si>
    <t>施罗德交银理财有限公司</t>
  </si>
  <si>
    <t>郑一凡,巩让,赵梓萱</t>
  </si>
  <si>
    <t>高盛工银理财有限责任公司</t>
  </si>
  <si>
    <t>法巴农银理财有限责任公司</t>
  </si>
  <si>
    <t>浙银理财</t>
  </si>
  <si>
    <t>国泰君安证券股份有限公司</t>
  </si>
  <si>
    <t>上海</t>
  </si>
  <si>
    <t>国信证券股份有限公司</t>
  </si>
  <si>
    <t>深圳</t>
  </si>
  <si>
    <t>国元证券股份有限公司</t>
  </si>
  <si>
    <t>安徽</t>
  </si>
  <si>
    <t>中天国富证券有限公司</t>
  </si>
  <si>
    <t>贵州</t>
  </si>
  <si>
    <t>海通证券股份有限公司</t>
  </si>
  <si>
    <t>恒泰长财证券有限责任公司</t>
  </si>
  <si>
    <t>吉林</t>
  </si>
  <si>
    <t>恒泰证券股份有限公司</t>
  </si>
  <si>
    <t>内蒙古</t>
  </si>
  <si>
    <t xml:space="preserve">                                                                         </t>
  </si>
  <si>
    <t>红塔证券股份有限公司</t>
  </si>
  <si>
    <t>云南</t>
  </si>
  <si>
    <t>宏信证券有限责任公司</t>
  </si>
  <si>
    <t>四川</t>
  </si>
  <si>
    <t>华安证券股份有限公司</t>
  </si>
  <si>
    <t>华宝证券股份有限公司</t>
  </si>
  <si>
    <t>华创证券有限责任公司</t>
  </si>
  <si>
    <t>华福证券有限责任公司</t>
  </si>
  <si>
    <t>福建</t>
  </si>
  <si>
    <t>华金证券股份有限公司</t>
  </si>
  <si>
    <t>华林证券股份有限公司</t>
  </si>
  <si>
    <t>西藏</t>
  </si>
  <si>
    <t>华龙证券股份有限公司</t>
  </si>
  <si>
    <t>甘肃</t>
  </si>
  <si>
    <t>国新证券股份有限公司</t>
  </si>
  <si>
    <t>北京</t>
  </si>
  <si>
    <t>有兴趣，当天会看</t>
  </si>
  <si>
    <t>华泰联合证券有限责任公司</t>
  </si>
  <si>
    <t>华泰证券股份有限公司</t>
  </si>
  <si>
    <t>江苏</t>
  </si>
  <si>
    <t>华西证券股份有限公司</t>
  </si>
  <si>
    <t>华鑫证券有限责任公司</t>
  </si>
  <si>
    <t>华英证券有限责任公司</t>
  </si>
  <si>
    <t>江海证券有限公司</t>
  </si>
  <si>
    <t>黑龙江</t>
  </si>
  <si>
    <t>金通证券有限责任公司</t>
  </si>
  <si>
    <t>浙江</t>
  </si>
  <si>
    <t>金元证券股份有限公司</t>
  </si>
  <si>
    <t>海南</t>
  </si>
  <si>
    <t>华源证券股份有限公司</t>
  </si>
  <si>
    <t>青海</t>
  </si>
  <si>
    <t>开源证券股份有限公司</t>
  </si>
  <si>
    <t>陕西</t>
  </si>
  <si>
    <t>粤开证券股份有限公司</t>
  </si>
  <si>
    <t>广东</t>
  </si>
  <si>
    <t>民生证券股份有限公司</t>
  </si>
  <si>
    <t>摩根士丹利证券（中国）有限公司</t>
  </si>
  <si>
    <t>南京证券股份有限公司</t>
  </si>
  <si>
    <t>平安证券股份有限公司</t>
  </si>
  <si>
    <t>中泰证券股份有限公司</t>
  </si>
  <si>
    <t>山东</t>
  </si>
  <si>
    <t>国融证券股份有限公司</t>
  </si>
  <si>
    <t>瑞银证券有限责任公司</t>
  </si>
  <si>
    <t>山西证券股份有限公司</t>
  </si>
  <si>
    <t>山西</t>
  </si>
  <si>
    <t>上海证券有限责任公司</t>
  </si>
  <si>
    <t>申万宏源证券有限公司</t>
  </si>
  <si>
    <t>唐一夫,郑一凡</t>
  </si>
  <si>
    <t>世纪证券有限责任公司</t>
  </si>
  <si>
    <t>首创证券股份有限公司</t>
  </si>
  <si>
    <t>太平洋证券股份有限公司</t>
  </si>
  <si>
    <t>天风证券股份有限公司</t>
  </si>
  <si>
    <t>湖北</t>
  </si>
  <si>
    <t>万和证券股份有限公司</t>
  </si>
  <si>
    <t>万联证券股份有限公司</t>
  </si>
  <si>
    <t>五矿证券有限公司</t>
  </si>
  <si>
    <t>西部证券股份有限公司</t>
  </si>
  <si>
    <t>东方财富证券股份有限公司</t>
  </si>
  <si>
    <t>西南证券股份有限公司</t>
  </si>
  <si>
    <t>重庆</t>
  </si>
  <si>
    <t>湘财证券股份有限公司</t>
  </si>
  <si>
    <t>湖南</t>
  </si>
  <si>
    <t>诚通证券股份有限公司</t>
  </si>
  <si>
    <t>信达证券股份有限公司</t>
  </si>
  <si>
    <t>叶天立,陈珍妮</t>
  </si>
  <si>
    <t>兴业证券股份有限公司</t>
  </si>
  <si>
    <t>银泰证券有限责任公司</t>
  </si>
  <si>
    <t>英大证券有限责任公司</t>
  </si>
  <si>
    <t>招商证券股份有限公司</t>
  </si>
  <si>
    <t>浙商证券股份有限公司</t>
  </si>
  <si>
    <t>唐一夫,王立德,陈珍妮</t>
  </si>
  <si>
    <t>中德证券有限责任公司</t>
  </si>
  <si>
    <t>赵梓萱,陈珍妮</t>
  </si>
  <si>
    <t>中国国际金融股份有限公司</t>
  </si>
  <si>
    <t>黄芷晴,陈珍妮,赵梓萱</t>
  </si>
  <si>
    <t>中国银河证券股份有限公司</t>
  </si>
  <si>
    <t>中国中金财富证券有限公司</t>
  </si>
  <si>
    <t>中航证券有限公司</t>
  </si>
  <si>
    <t>江西</t>
  </si>
  <si>
    <t>中山证券有限责任公司</t>
  </si>
  <si>
    <t>中天证券股份有限公司</t>
  </si>
  <si>
    <t>辽宁</t>
  </si>
  <si>
    <t>中信建投证券股份有限公司</t>
  </si>
  <si>
    <t>唐一夫,王立德,黄芷晴,巩让,郑一凡,叶天立</t>
  </si>
  <si>
    <t>中信证券股份有限公司</t>
  </si>
  <si>
    <t>中银国际证券股份有限公司</t>
  </si>
  <si>
    <t>中邮证券有限责任公司</t>
  </si>
  <si>
    <t>唐一夫,王立德</t>
  </si>
  <si>
    <t>中原证券股份有限公司</t>
  </si>
  <si>
    <t>河南</t>
  </si>
  <si>
    <t>陈珍妮,赵梓萱,黄芷晴</t>
  </si>
  <si>
    <t>联储证券股份有限公司</t>
  </si>
  <si>
    <t>青岛</t>
  </si>
  <si>
    <t>申港证券股份有限公司</t>
  </si>
  <si>
    <t>巩让,黄芷晴</t>
  </si>
  <si>
    <t>华兴证券有限公司</t>
  </si>
  <si>
    <t>汇丰前海证券有限责任公司</t>
  </si>
  <si>
    <t>东亚前海证券有限责任公司</t>
  </si>
  <si>
    <t>野村东方国际证券有限公司</t>
  </si>
  <si>
    <t>摩根大通证券（中国）有限公司</t>
  </si>
  <si>
    <t>金圆统一证券有限公司</t>
  </si>
  <si>
    <t>厦门</t>
  </si>
  <si>
    <t>甬兴证券有限公司</t>
  </si>
  <si>
    <t>宁波</t>
  </si>
  <si>
    <t>星展证券（中国）有限公司</t>
  </si>
  <si>
    <t>大和证券（中国）有限责任公司</t>
  </si>
  <si>
    <t>黄芷晴,郑一凡</t>
  </si>
  <si>
    <t>国泰基金管理有限公司</t>
  </si>
  <si>
    <t>叶天立,郑一凡</t>
  </si>
  <si>
    <t>南方基金管理股份有限公司</t>
  </si>
  <si>
    <t>华夏基金管理有限公司</t>
  </si>
  <si>
    <t>华安基金管理有限公司</t>
  </si>
  <si>
    <t>博时基金管理有限公司</t>
  </si>
  <si>
    <t>鹏华基金管理有限公司</t>
  </si>
  <si>
    <t>长盛基金管理有限公司</t>
  </si>
  <si>
    <t>嘉实基金管理有限公司</t>
  </si>
  <si>
    <t>大成基金管理有限公司</t>
  </si>
  <si>
    <t>富国基金管理有限公司</t>
  </si>
  <si>
    <t>易方达基金管理有限公司</t>
  </si>
  <si>
    <t>宝盈基金管理有限公司</t>
  </si>
  <si>
    <t>融通基金管理有限公司</t>
  </si>
  <si>
    <t>银华基金管理股份有限公司</t>
  </si>
  <si>
    <t>长城基金管理有限公司</t>
  </si>
  <si>
    <t>银河基金管理有限公司</t>
  </si>
  <si>
    <t>宏利基金管理有限公司</t>
  </si>
  <si>
    <t>国投瑞银基金管理有限公司</t>
  </si>
  <si>
    <t>万家基金管理有限公司</t>
  </si>
  <si>
    <t>金鹰基金管理有限公司</t>
  </si>
  <si>
    <t>招商基金管理有限公司</t>
  </si>
  <si>
    <t>华宝基金管理有限公司</t>
  </si>
  <si>
    <t>摩根士丹利基金管理（中国）有限公司</t>
  </si>
  <si>
    <t>国联安基金管理有限公司</t>
  </si>
  <si>
    <t>海富通基金管理有限公司</t>
  </si>
  <si>
    <t>长信基金管理有限责任公司</t>
  </si>
  <si>
    <t>泰信基金管理有限公司</t>
  </si>
  <si>
    <t>天治基金管理有限公司</t>
  </si>
  <si>
    <t>景顺长城基金管理有限公司</t>
  </si>
  <si>
    <t>广发基金管理有限公司</t>
  </si>
  <si>
    <t>兴证全球基金管理有限公司</t>
  </si>
  <si>
    <t>诺安基金管理有限公司</t>
  </si>
  <si>
    <t>申万菱信基金管理有限公司</t>
  </si>
  <si>
    <t>中海基金管理有限公司</t>
  </si>
  <si>
    <t>光大保德信基金管理有限公司</t>
  </si>
  <si>
    <t>华富基金管理有限公司</t>
  </si>
  <si>
    <t>王立德,郑一凡</t>
  </si>
  <si>
    <t>摩根基金管理（中国）有限公司</t>
  </si>
  <si>
    <t>东方基金管理股份有限公司</t>
  </si>
  <si>
    <t>中银基金管理有限公司</t>
  </si>
  <si>
    <t>巩让,王立德</t>
  </si>
  <si>
    <t>东吴基金管理有限公司</t>
  </si>
  <si>
    <t>国海富兰克林基金管理有限公司</t>
  </si>
  <si>
    <t>天弘基金管理有限公司</t>
  </si>
  <si>
    <t>华泰柏瑞基金管理有限公司</t>
  </si>
  <si>
    <t>新华基金管理股份有限公司</t>
  </si>
  <si>
    <t>汇添富基金管理股份有限公司</t>
  </si>
  <si>
    <t>工银瑞信基金管理有限公司</t>
  </si>
  <si>
    <t>赵梓萱,郑一凡</t>
  </si>
  <si>
    <t>交银施罗德基金管理有限公司</t>
  </si>
  <si>
    <t>中信保诚基金管理有限公司</t>
  </si>
  <si>
    <t>建信基金管理有限责任公司</t>
  </si>
  <si>
    <t>华商基金管理有限公司</t>
  </si>
  <si>
    <t>汇丰晋信基金管理有限公司</t>
  </si>
  <si>
    <t>益民基金管理有限公司</t>
  </si>
  <si>
    <t>中邮创业基金管理股份有限公司</t>
  </si>
  <si>
    <t>信达澳亚基金管理有限公司</t>
  </si>
  <si>
    <t>诺德基金管理有限公司</t>
  </si>
  <si>
    <t>黄芷晴,王立德</t>
  </si>
  <si>
    <t>中欧基金管理有限公司</t>
  </si>
  <si>
    <t>金元顺安基金管理有限公司</t>
  </si>
  <si>
    <t>浦银安盛基金管理有限公司</t>
  </si>
  <si>
    <t>农银汇理基金管理有限公司</t>
  </si>
  <si>
    <t>民生加银基金管理有限公司</t>
  </si>
  <si>
    <t>西部利得基金管理有限公司</t>
  </si>
  <si>
    <t>浙商基金管理有限公司</t>
  </si>
  <si>
    <t>平安基金管理有限公司</t>
  </si>
  <si>
    <t>富安达基金管理有限公司</t>
  </si>
  <si>
    <t>财通基金管理有限公司</t>
  </si>
  <si>
    <t>方正富邦基金管理有限公司</t>
  </si>
  <si>
    <t>长安基金管理有限公司</t>
  </si>
  <si>
    <t>国金基金管理有限公司</t>
  </si>
  <si>
    <t>安信基金管理有限责任公司</t>
  </si>
  <si>
    <t>德邦基金管理有限公司</t>
  </si>
  <si>
    <t>华宸未来基金管理有限公司</t>
  </si>
  <si>
    <t>红塔红土基金管理有限公司</t>
  </si>
  <si>
    <t>英大基金管理有限公司</t>
  </si>
  <si>
    <t>江信基金管理有限公司</t>
  </si>
  <si>
    <t>太平基金管理有限公司</t>
  </si>
  <si>
    <t>华润元大基金管理有限公司</t>
  </si>
  <si>
    <t>前海开源基金管理有限公司</t>
  </si>
  <si>
    <t>东海基金管理有限责任公司</t>
  </si>
  <si>
    <t>中加基金管理有限公司</t>
  </si>
  <si>
    <t>兴业基金管理有限公司</t>
  </si>
  <si>
    <t>国联基金管理有限公司</t>
  </si>
  <si>
    <t>北京京管泰富基金管理有限责任公司</t>
  </si>
  <si>
    <t>中信建投基金管理有限公司</t>
  </si>
  <si>
    <t>上银基金管理有限公司</t>
  </si>
  <si>
    <t>鑫元基金管理有限公司</t>
  </si>
  <si>
    <t>永赢基金管理有限公司</t>
  </si>
  <si>
    <t>兴银基金管理有限责任公司</t>
  </si>
  <si>
    <t>国寿安保基金管理有限公司</t>
  </si>
  <si>
    <t>圆信永丰基金管理有限公司</t>
  </si>
  <si>
    <t>中金基金管理有限公司</t>
  </si>
  <si>
    <t>北信瑞丰基金管理有限公司</t>
  </si>
  <si>
    <t>红土创新基金管理有限公司</t>
  </si>
  <si>
    <t>嘉合基金管理有限公司</t>
  </si>
  <si>
    <t>创金合信基金管理有限公司</t>
  </si>
  <si>
    <t>九泰基金管理有限公司</t>
  </si>
  <si>
    <t>泓德基金管理有限公司</t>
  </si>
  <si>
    <t>金信基金管理有限公司</t>
  </si>
  <si>
    <t>新疆前海联合基金管理有限公司</t>
  </si>
  <si>
    <t>新沃基金管理有限公司</t>
  </si>
  <si>
    <t>中科沃土基金管理有限公司</t>
  </si>
  <si>
    <t>富荣基金管理有限公司</t>
  </si>
  <si>
    <t>汇安基金管理有限责任公司</t>
  </si>
  <si>
    <t>先锋基金管理有限公司</t>
  </si>
  <si>
    <t>中航基金管理有限公司</t>
  </si>
  <si>
    <t>华泰保兴基金管理有限公司</t>
  </si>
  <si>
    <t>鹏扬基金管理有限公司</t>
  </si>
  <si>
    <t>恒生前海基金管理有限公司</t>
  </si>
  <si>
    <t>格林基金管理有限公司</t>
  </si>
  <si>
    <t>南华基金管理有限公司</t>
  </si>
  <si>
    <t>凯石基金管理有限公司</t>
  </si>
  <si>
    <t>国融基金管理有限公司</t>
  </si>
  <si>
    <t>东方阿尔法基金管理有限公司</t>
  </si>
  <si>
    <t>恒越基金管理有限公司</t>
  </si>
  <si>
    <t>弘毅远方基金管理有限公司</t>
  </si>
  <si>
    <t>合煦智远基金管理有限公司</t>
  </si>
  <si>
    <t>博道基金管理有限公司</t>
  </si>
  <si>
    <t>蜂巢基金管理有限公司</t>
  </si>
  <si>
    <t>中庚基金管理有限公司</t>
  </si>
  <si>
    <t>湘财基金管理有限公司</t>
  </si>
  <si>
    <t>睿远基金管理有限公司</t>
  </si>
  <si>
    <t>朱雀基金管理有限公司</t>
  </si>
  <si>
    <t>淳厚基金管理有限公司</t>
  </si>
  <si>
    <t>同泰基金管理有限公司</t>
  </si>
  <si>
    <t>惠升基金管理有限责任公司</t>
  </si>
  <si>
    <t>西藏东财基金管理有限公司</t>
  </si>
  <si>
    <t>博远基金管理有限公司</t>
  </si>
  <si>
    <t>国新国证基金管理有限公司</t>
  </si>
  <si>
    <t>明亚基金管理有限责任公司</t>
  </si>
  <si>
    <t>达诚基金管理有限公司</t>
  </si>
  <si>
    <t>兴华基金管理有限公司</t>
  </si>
  <si>
    <t>东兴基金管理有限公司</t>
  </si>
  <si>
    <t>瑞达基金管理有限公司</t>
  </si>
  <si>
    <t>汇泉基金管理有限公司</t>
  </si>
  <si>
    <t>百嘉基金管理有限公司</t>
  </si>
  <si>
    <t>尚正基金管理有限公司</t>
  </si>
  <si>
    <t>贝莱德基金管理有限公司</t>
  </si>
  <si>
    <t>易米基金管理有限公司</t>
  </si>
  <si>
    <t>兴合基金管理有限公司</t>
  </si>
  <si>
    <t>泰康基金管理有限公司</t>
  </si>
  <si>
    <t>泉果基金管理有限公司</t>
  </si>
  <si>
    <t>路博迈基金管理（中国）有限公司</t>
  </si>
  <si>
    <t>富达基金管理（中国）有限公司</t>
  </si>
  <si>
    <t>华西基金管理有限责任公司</t>
  </si>
  <si>
    <t>施罗德基金管理（中国）有限公司</t>
  </si>
  <si>
    <t>联博基金管理有限公司</t>
  </si>
  <si>
    <t>汇百川基金管理有限公司</t>
  </si>
  <si>
    <t>嘉实财富管理有限公司</t>
  </si>
  <si>
    <t>首誉光控资产管理有限公司</t>
  </si>
  <si>
    <t>万家共赢资产管理有限公司</t>
  </si>
  <si>
    <t>深圳市融通资本管理股份有限公司</t>
  </si>
  <si>
    <t>南方资本管理有限公司</t>
  </si>
  <si>
    <t>东海瑞京资产管理（上海）有限公司</t>
  </si>
  <si>
    <t>汇添富资本管理有限公司</t>
  </si>
  <si>
    <t>天治北部资产管理有限公司</t>
  </si>
  <si>
    <t>中海恒信资产管理（上海）有限公司</t>
  </si>
  <si>
    <t>华安未来资产管理（上海）有限公司</t>
  </si>
  <si>
    <t>富安达资产管理（上海）有限公司</t>
  </si>
  <si>
    <t>国投瑞银资本管理有限公司</t>
  </si>
  <si>
    <t>上海华宸未来资产管理有限公司</t>
  </si>
  <si>
    <t>中信信诚资产管理有限公司</t>
  </si>
  <si>
    <t>博时资本管理有限公司</t>
  </si>
  <si>
    <t>银华长安资本管理（北京）有限公司</t>
  </si>
  <si>
    <t>招商财富资产管理有限公司</t>
  </si>
  <si>
    <t>交银施罗德资产管理有限公司</t>
  </si>
  <si>
    <t>大成创新资本管理有限公司</t>
  </si>
  <si>
    <t>长盛创富资产管理有限公司</t>
  </si>
  <si>
    <t>诺安资产管理有限公司</t>
  </si>
  <si>
    <t>兴业财富资产管理有限公司</t>
  </si>
  <si>
    <t>长城嘉信资产管理有限公司</t>
  </si>
  <si>
    <t>兴证全球资本管理（上海）有限公司</t>
  </si>
  <si>
    <t>深圳市红塔资产管理有限公司</t>
  </si>
  <si>
    <t>德邦创新资本有限责任公司</t>
  </si>
  <si>
    <t>上海新东吴优胜资产管理有限公司</t>
  </si>
  <si>
    <t>上海浦银安盛资产管理有限公司</t>
  </si>
  <si>
    <t>上海财通资产管理有限公司</t>
  </si>
  <si>
    <t>鑫沅资产管理有限公司</t>
  </si>
  <si>
    <t>华夏资本管理有限公司</t>
  </si>
  <si>
    <t>东方汇智资产管理有限公司</t>
  </si>
  <si>
    <t>工银瑞信投资管理有限公司</t>
  </si>
  <si>
    <t>易方达资产管理有限公司</t>
  </si>
  <si>
    <t>建信资本管理有限责任公司</t>
  </si>
  <si>
    <t>上海锐懿资产管理有限公司</t>
  </si>
  <si>
    <t>国泰元鑫资产管理有限公司</t>
  </si>
  <si>
    <t>北京方正富邦创融资产管理有限公司</t>
  </si>
  <si>
    <t>国泓资产管理有限公司</t>
  </si>
  <si>
    <t>信达新兴财富（北京）资产管理有限公司</t>
  </si>
  <si>
    <t>上海长江财富资产管理有限公司</t>
  </si>
  <si>
    <t>嘉实资本管理有限公司</t>
  </si>
  <si>
    <t>安信乾盛财富管理（深圳）有限公司</t>
  </si>
  <si>
    <t>广州金鹰资产管理有限公司</t>
  </si>
  <si>
    <t>银河资本资产管理有限公司</t>
  </si>
  <si>
    <t>上海国金理益财富基金销售有限公司</t>
  </si>
  <si>
    <t>长安财富资产管理有限公司</t>
  </si>
  <si>
    <t>景顺长城资产管理（深圳）有限公司</t>
  </si>
  <si>
    <t>上海北信瑞丰资产管理有限公司</t>
  </si>
  <si>
    <t>富国资产管理（上海）有限公司</t>
  </si>
  <si>
    <t>上海华富利得资产管理有限公司</t>
  </si>
  <si>
    <t>光大保德信资产管理有限公司</t>
  </si>
  <si>
    <t>农银汇理资产管理有限公司</t>
  </si>
  <si>
    <t>前海开源资产管理有限公司</t>
  </si>
  <si>
    <t>上海富诚海富通资产管理有限公司</t>
  </si>
  <si>
    <t>上海金元百利资产管理有限公司</t>
  </si>
  <si>
    <t>上银瑞金资本管理有限公司</t>
  </si>
  <si>
    <t>申万菱信（上海）资产管理有限公司</t>
  </si>
  <si>
    <t>深圳平安汇通投资管理有限公司</t>
  </si>
  <si>
    <t>中欧盛世资产管理（上海）有限公司</t>
  </si>
  <si>
    <t>中信建投利信资本管理（北京）有限公司</t>
  </si>
  <si>
    <t>上海兴瀚资产管理有限公司</t>
  </si>
  <si>
    <t>北银丰业资产管理有限公司</t>
  </si>
  <si>
    <t>永赢资产管理有限公司</t>
  </si>
  <si>
    <t>北京京管泰富资产管理有限公司</t>
  </si>
  <si>
    <t>鹏华资产管理有限公司</t>
  </si>
  <si>
    <t>北京英大资本管理有限公司</t>
  </si>
  <si>
    <t>瑞元资本管理有限公司</t>
  </si>
  <si>
    <t>天弘创新资产管理有限公司</t>
  </si>
  <si>
    <t>中银资产管理有限公司</t>
  </si>
  <si>
    <t>深圳华润元大资产管理有限公司</t>
  </si>
  <si>
    <t>中铁宝盈资产管理有限公司</t>
  </si>
  <si>
    <t>民生加银资产管理有限公司</t>
  </si>
  <si>
    <t>国寿财富管理有限公司</t>
  </si>
  <si>
    <t>北京新华富时资产管理有限公司</t>
  </si>
  <si>
    <t>深创投红土资产管理（深圳）有限公司</t>
  </si>
  <si>
    <t>博时财富基金销售有限公司</t>
  </si>
  <si>
    <t>长江证券(上海)资管公募</t>
  </si>
  <si>
    <t>借了拆借1.49e 余900</t>
  </si>
  <si>
    <t>余900 还</t>
  </si>
  <si>
    <t>上交所担保交收7k，明日下账</t>
  </si>
  <si>
    <t>收沪市私募债卖出款0.3亿元（销交）；</t>
  </si>
  <si>
    <t>收沪市私募债卖出款1.02亿元（销交）；付沪市私募债买入款0.5亿元（销交）；</t>
  </si>
  <si>
    <t>收沪市私募债卖出款0.1亿元（销交）</t>
  </si>
  <si>
    <t xml:space="preserve"> 收沪市私募债卖出款0.3亿元（销交）；付沪市私募债买入款0.46亿元（销交）</t>
  </si>
  <si>
    <t>收沪市私募债卖出款1.31亿元（销交）；付沪市私募债买入款0.1亿元（销交）；</t>
  </si>
  <si>
    <t>收沪市私募债卖出款0.6亿元（销交）；收深市私募债卖出款0.15亿元（销交）；付沪市私募债买入款0.2亿元（销交）；</t>
  </si>
  <si>
    <t>收深市私募债卖出款0.51亿元（销交）；付沪市私募债买入款2亿元（销交）；付深市私募债买入款0.76亿元（销交）；</t>
  </si>
  <si>
    <t>收沪市私募债卖出款2.92亿元（销交）；付沪市私募债买入款1.02亿元（销交）；</t>
  </si>
  <si>
    <t>收深市私募债卖出款0.2亿元（销交）；</t>
  </si>
  <si>
    <t>收深市私募债卖出款1.48亿元（销交）；收沪市私募债卖出款0.5亿元（销交）；</t>
  </si>
  <si>
    <t>付沪市私募债买入款0.05亿元（销交）；</t>
  </si>
  <si>
    <t>收沪市私募债卖出款2.01亿元（销交）；</t>
  </si>
  <si>
    <t>收销售交易部RTGS交易净回款0.94亿元；</t>
  </si>
  <si>
    <t>付销售交易部上交所RTGS交易净用款0.42亿元；
    付销售交易部深交所RTGS交易净用款0.41亿元；</t>
  </si>
  <si>
    <t>收销售交易部上交所RTGS交易净回款1.2亿元。</t>
  </si>
  <si>
    <t>付上交所RTGS交易收款0.3亿元（销售交易部）；付深交所RTGS交易付款0.21亿元（销售交易部）。</t>
  </si>
  <si>
    <t>收沪市私募债卖出款0.9亿元（销交）；付沪市私募债买入款0.4亿元（销交）。</t>
  </si>
  <si>
    <t>收沪市私募债卖出款0.56亿元（销交）； 付沪市私募债买入款0.35亿元（销交）；</t>
  </si>
  <si>
    <t>收沪市私募债卖出款1.13亿元（销交）；收深市私募债卖出款0.4亿元（销交）；付沪市私募债买入款0.05亿元（销交）；</t>
  </si>
  <si>
    <t>收沪市私募债卖出款1.45亿元（销交）；. 收深市私募债卖出款0.3亿元（销交</t>
  </si>
  <si>
    <t>收深市私募债卖出款0.72亿元（销交）；付沪市私募债买入款0.2亿元（销交）； 付深市私募债买入款0.5亿元（销交）；</t>
  </si>
  <si>
    <t>收沪市私募债卖出款0.49亿元（销交）；</t>
  </si>
  <si>
    <t>收沪市私募债卖出款1.05亿元（销交）；付沪市私募债买入款0.2亿元（销交）； 付深市私募债买入款0.21亿元（销交）。</t>
  </si>
  <si>
    <t>收沪市私募债卖出款0.88亿元（销交）；</t>
  </si>
  <si>
    <t>收沪市私募债卖出款1.25亿元（销交）；
    收深市私募债卖出款1.01亿元（销交）；
    付沪市私募债买入款1.37亿元（销交）；
    付深市私募债买入款0.5亿元（销交）。</t>
  </si>
  <si>
    <t>收沪市私募债卖出款1.8亿元（销交）； 收深市私募债卖出款0.9亿元（销交）；付沪市私募债买入款1.2亿元（销交）；付深市私募债买入款0.9亿元（销交）；</t>
  </si>
  <si>
    <t>收沪市私募债卖出款3.34亿元（销交）；收深市私募债卖出款0.2亿元（销交）；付沪市私募债买入款2.93亿元（销交）；</t>
  </si>
  <si>
    <t>收沪市私募债卖出款0.75亿元（销交）；付沪市私募债买入款0.6亿元（销交）；</t>
  </si>
  <si>
    <t>收沪市私募债卖出款1.5亿元（销交）。付沪市私募债买入款0.14亿元（销交）；</t>
  </si>
  <si>
    <t>收深市私募债卖出款0.5亿元（销交）；收沪市私募债卖出款2.3亿元（销交）； 付沪市私募债买入款0.1亿元（销交）；付深市私募债买入款0.5亿元（销交）；</t>
  </si>
  <si>
    <t>24百盐01，付息960,000</t>
  </si>
  <si>
    <t>收沪市私募债卖出款1.35亿元（销交）；</t>
  </si>
  <si>
    <t>收沪市私募债卖出款0.02亿元（销交）；</t>
  </si>
  <si>
    <t>收沪市私募债卖出款0.74亿元（销交）；付沪市私募债买入款0.5亿元（销交）；</t>
  </si>
  <si>
    <t>收沪市私募债卖出款1.29亿元（销交）。付沪市私募债买入款0.21亿元（销交）；</t>
  </si>
  <si>
    <t>付沪市私募债买入款1.2亿元（销交）；</t>
  </si>
  <si>
    <t>收沪市私募债卖出款2.08亿元（销交）；付沪市私募债买入款0.21亿元（销交）。</t>
  </si>
  <si>
    <t>收沪市私募债卖出款0.12亿元（销交）</t>
  </si>
  <si>
    <t>收沪市私募债卖出款1.06亿元（销交）；付沪市私募债买入款2.11亿元（销交）；付深交所0.2</t>
  </si>
  <si>
    <t>收沪市私募债卖出款0.38亿元（销交）； 付沪市私募债买入款0.76亿元（销交）；</t>
  </si>
  <si>
    <t>付沪市私募债卖出款1.53亿元（销交）。</t>
  </si>
  <si>
    <t>付沪市私募债买入款0.9亿元（销交）；</t>
  </si>
  <si>
    <t>付沪市私募债买入款0.02亿元（销交）；</t>
  </si>
  <si>
    <t>付沪市私募债买入款0.09亿元（销交）</t>
  </si>
  <si>
    <t>收沪市私募债卖出款0.3亿元（销交）</t>
  </si>
  <si>
    <t>收沪市私募债卖出款0.62亿元（销交）； 收深市私募债卖出款0.1亿元（销交）。</t>
  </si>
  <si>
    <t>付沪市私募债买出款0.48亿元（销交</t>
  </si>
  <si>
    <t>收沪市私募债卖出款0.2亿元（销交）；</t>
  </si>
  <si>
    <t>收沪市私募债卖出款0.7亿元（销交）</t>
  </si>
  <si>
    <t>收沪市私募债卖出款0.1亿元（销交）； 收深市私募债卖出款0.1亿元（销交）；</t>
  </si>
  <si>
    <t>收沪市私募债款0.52亿元（销交）。付深市私募债款0.22亿元（销交）。</t>
  </si>
  <si>
    <t>收沪市私募债款0.1亿元（销交）</t>
  </si>
  <si>
    <t>收沪市私募债卖出款0.28亿元（销交）；</t>
  </si>
  <si>
    <t>收沪市私募债款0.4亿元（销交）</t>
  </si>
  <si>
    <t>256163，付息458,000.00</t>
  </si>
  <si>
    <t>收沪市私募债款0.93亿元（销交）；收深市私募债款0.3亿元（销交）；</t>
  </si>
  <si>
    <t>付沪市私募债款0.01亿元（销交）；</t>
  </si>
  <si>
    <t>收深市私募债款0.5亿元（销交）付沪市私募债款0.35亿元（销交）；</t>
  </si>
  <si>
    <t>收沪市私募债款0.01亿元（销交）；付深市私募债款0.3亿元（销交）；</t>
  </si>
  <si>
    <t>付沪市私募债款0.56亿元（销交）。</t>
  </si>
  <si>
    <t>收沪市私募债款0.41亿元（销交）； 收深市私募债款0.3亿元（销交）。</t>
  </si>
  <si>
    <t>付沪市私募债款1.12亿元（销交）；</t>
  </si>
  <si>
    <t>付沪市私募债款0.55亿元（销交）。</t>
  </si>
  <si>
    <t>收深市私募债款0.22亿元（销交）。付沪市私募债款0.02亿元（销交）</t>
  </si>
  <si>
    <t>收沪市私募债款0.1亿元（销交）；</t>
  </si>
  <si>
    <t>收沪市私募债款0.91亿元（销交）</t>
  </si>
  <si>
    <t>22红投01</t>
  </si>
  <si>
    <t>收沪市私募债款0.41亿元（销交）。</t>
  </si>
  <si>
    <t>付深市私募债款0.4亿元（销交） 付沪市私募债款0.51亿元（销交）。</t>
  </si>
  <si>
    <t>收沪市私募债款1.17亿元（销交）；</t>
  </si>
  <si>
    <t>付沪市私募债款0.3亿元（销交）；付深市私募债款0.2亿元（销交）</t>
  </si>
  <si>
    <t>收沪市私募债款1.56亿元（销交）</t>
  </si>
  <si>
    <t xml:space="preserve"> 收沪市私募债款0.2亿元（销交）；</t>
  </si>
  <si>
    <t>收沪市私募债款1.02亿元（销交）； 付深市私募债款0.2亿元（销交）；</t>
  </si>
  <si>
    <t>收深市私募债款0.2亿元（销交）；付沪市私募债款0.91亿元（销交）；</t>
  </si>
  <si>
    <t>3e拆借</t>
  </si>
  <si>
    <t>2e拆借</t>
  </si>
  <si>
    <t>内评：2-及以上✅️，模拟3-及以下❌️；城投✅️；非城投❌️；舆情：停止评级/降低评级❌️❌️❌️；主承销商有西南证券 ❌️❌️❌️❌️</t>
  </si>
  <si>
    <t>内部评级</t>
  </si>
  <si>
    <t>行业（城投，公用事业，其他）</t>
  </si>
  <si>
    <t>承销商是否有西南证券；发行人是否为关联方</t>
  </si>
  <si>
    <t>债券代码</t>
  </si>
  <si>
    <t>债券简称</t>
  </si>
  <si>
    <t>发行期限</t>
  </si>
  <si>
    <t>预计发行额(亿)</t>
  </si>
  <si>
    <t>询价区间</t>
  </si>
  <si>
    <t>主承销商</t>
  </si>
  <si>
    <t>债券类型</t>
  </si>
  <si>
    <t>发行人名称</t>
  </si>
  <si>
    <t>市场截标时间</t>
  </si>
  <si>
    <t>企业性质</t>
  </si>
  <si>
    <t>所属行业</t>
  </si>
  <si>
    <t>YY评级</t>
  </si>
  <si>
    <t>舆情：交易商协会：核减遂宁开达投资及合肥海恒控股集团中票注册金额，核减金额合计2.6亿元</t>
  </si>
  <si>
    <t>城投--工业--建筑--建筑与工程Ⅲ--建筑与工程Ⅳ</t>
  </si>
  <si>
    <t>否</t>
  </si>
  <si>
    <t>S883568321.IB</t>
  </si>
  <si>
    <t>26遂宁开达MTN001</t>
  </si>
  <si>
    <t>AA/--</t>
  </si>
  <si>
    <t>0.80(0.00~0.80)</t>
  </si>
  <si>
    <t>重庆银行股份有限公司</t>
  </si>
  <si>
    <t>中期票据</t>
  </si>
  <si>
    <t>遂宁开达投资有限公司</t>
  </si>
  <si>
    <t>地方国有企业</t>
  </si>
  <si>
    <t>建筑装饰</t>
  </si>
  <si>
    <t>6-</t>
  </si>
  <si>
    <t>舆情：无</t>
  </si>
  <si>
    <t>房地产--房地产Ⅱ--房地产管理和开发--房地产开发</t>
  </si>
  <si>
    <t>S883515947.IB</t>
  </si>
  <si>
    <t>26金融街MTN006B</t>
  </si>
  <si>
    <t>3Y+2Y</t>
  </si>
  <si>
    <t>AAA/AAA</t>
  </si>
  <si>
    <t>5.00(0.00~10.30)</t>
  </si>
  <si>
    <t>金融街控股股份有限公司</t>
  </si>
  <si>
    <t>房地产</t>
  </si>
  <si>
    <t>7-</t>
  </si>
  <si>
    <t>舆情：2026年8月1日票交所逾期披露：上海康恒环境股份有限公司累计逾期10.95万元</t>
  </si>
  <si>
    <t>工业-建筑-建筑与工程Ⅲ-建筑与工程Ⅳ</t>
  </si>
  <si>
    <t>S883521383.IB</t>
  </si>
  <si>
    <t>26康恒环境MTN003(科创债)</t>
  </si>
  <si>
    <t>2Y</t>
  </si>
  <si>
    <t>AA+/--</t>
  </si>
  <si>
    <t>4.00(0.00~4.00)</t>
  </si>
  <si>
    <t>交通银行股份有限公司</t>
  </si>
  <si>
    <t>上海康恒环境股份有限公司</t>
  </si>
  <si>
    <t>民营企业</t>
  </si>
  <si>
    <t>环保</t>
  </si>
  <si>
    <t>S883515946.IB</t>
  </si>
  <si>
    <t>26金融街MTN006A</t>
  </si>
  <si>
    <t>2Y+2Y</t>
  </si>
  <si>
    <t>5.30(0.00~10.30)</t>
  </si>
  <si>
    <t>舆情：中诚信亚太：基于商业原因，撤销长发集团“Ag+”长期信用评级</t>
  </si>
  <si>
    <t>S883501181.IB</t>
  </si>
  <si>
    <t>26长发集团MTN003</t>
  </si>
  <si>
    <t>10Y</t>
  </si>
  <si>
    <t>AAA/--</t>
  </si>
  <si>
    <t>1.00(0.00~1.00)</t>
  </si>
  <si>
    <t>平安银行股份有限公司</t>
  </si>
  <si>
    <t>长春市城市发展投资控股(集团)有限公司</t>
  </si>
  <si>
    <t>综合</t>
  </si>
  <si>
    <t>舆情：商丘古城保护开发建设被出具警示函，部分债券募资未用于约定用途</t>
  </si>
  <si>
    <t>城投--可选消费--耐用消费品--家庭耐用消费品--住宅建筑</t>
  </si>
  <si>
    <t>S883519934.IB</t>
  </si>
  <si>
    <t>26商丘发展MTN001</t>
  </si>
  <si>
    <t>国泰海通证券股份有限公司</t>
  </si>
  <si>
    <t>商丘市发展投资集团有限公司</t>
  </si>
  <si>
    <t>102690063.IB</t>
  </si>
  <si>
    <t>26银川城投MTN003</t>
  </si>
  <si>
    <t>3Y</t>
  </si>
  <si>
    <t>1.83(0.00~1.83)</t>
  </si>
  <si>
    <t>东兴证券股份有限公司</t>
  </si>
  <si>
    <t>银川城市建设发展投资集团有限公司</t>
  </si>
  <si>
    <t>S883505443.IB</t>
  </si>
  <si>
    <t>26汤山建设MTN002</t>
  </si>
  <si>
    <t>5.80(0.00~5.80)</t>
  </si>
  <si>
    <t>南京汤山建设投资发展集团有限公司</t>
  </si>
  <si>
    <t>8+</t>
  </si>
  <si>
    <t>材料--有色金属--其他金属与采矿--铝</t>
  </si>
  <si>
    <t>S883556835.IB</t>
  </si>
  <si>
    <t>26新投MTN003</t>
  </si>
  <si>
    <t>新疆投资发展(集团)有限责任公司</t>
  </si>
  <si>
    <t>有色金属</t>
  </si>
  <si>
    <t>S883519674.IB</t>
  </si>
  <si>
    <t>26越秀租赁MTN003B(绿色)</t>
  </si>
  <si>
    <t>2.00(0.00~5.00)</t>
  </si>
  <si>
    <t>江苏银行股份有限公司</t>
  </si>
  <si>
    <t>广州越秀融资租赁有限公司</t>
  </si>
  <si>
    <t>非银金融</t>
  </si>
  <si>
    <t>工业--建筑--建筑与工程Ⅲ--建筑与工程Ⅳ</t>
  </si>
  <si>
    <t>102683938.IB</t>
  </si>
  <si>
    <t>26珠城轨MTN003</t>
  </si>
  <si>
    <t>15Y</t>
  </si>
  <si>
    <t>10.00(0.00~10.00)</t>
  </si>
  <si>
    <t>招商银行股份有限公司</t>
  </si>
  <si>
    <t>广东珠三角城际轨道交通有限公司</t>
  </si>
  <si>
    <t>交通运输</t>
  </si>
  <si>
    <t>金融--非银金融--金融服务--多元金融服务</t>
  </si>
  <si>
    <t>S883492032.IB</t>
  </si>
  <si>
    <t>26金鼎产融MTN002</t>
  </si>
  <si>
    <t>兴业银行股份有限公司</t>
  </si>
  <si>
    <t>四川能源金鼎产融控股集团有限公司</t>
  </si>
  <si>
    <t>可选消费--消费者服务--酒店、餐馆与休闲--休闲设施</t>
  </si>
  <si>
    <t>S883502166.IB</t>
  </si>
  <si>
    <t>26鄂文旅MTN004</t>
  </si>
  <si>
    <t>长江证券股份有限公司</t>
  </si>
  <si>
    <t>湖北文化旅游集团有限公司</t>
  </si>
  <si>
    <t>城投--公用事业--公用事业Ⅱ--复合型公用事业Ⅲ--复合型公用事业Ⅳ</t>
  </si>
  <si>
    <t>102683937.IB</t>
  </si>
  <si>
    <t>26浦口城乡MTN002</t>
  </si>
  <si>
    <t>上海浦东发展银行股份有限公司</t>
  </si>
  <si>
    <t>南京浦口城乡建设集团有限公司</t>
  </si>
  <si>
    <t>舆情：中交城投上半年营业收入31亿元 同比下降26.17%</t>
  </si>
  <si>
    <t>102683936.IB</t>
  </si>
  <si>
    <t>26中交城投MTN003</t>
  </si>
  <si>
    <t>中交城市投资控股有限公司</t>
  </si>
  <si>
    <t>中央国有企业</t>
  </si>
  <si>
    <t>4-</t>
  </si>
  <si>
    <t>S883496592.IB</t>
  </si>
  <si>
    <t>26抚州投资MTN003</t>
  </si>
  <si>
    <t>抚州市市属国有资产投资控股集团有限公司</t>
  </si>
  <si>
    <t>6+</t>
  </si>
  <si>
    <t>S883492040.IB</t>
  </si>
  <si>
    <t>26天街集团MTN002</t>
  </si>
  <si>
    <t>北京天街集团有限公司</t>
  </si>
  <si>
    <t>舆情：中国长城铝业原党委副书记、工会主席高纯生接受审查调查</t>
  </si>
  <si>
    <t>材料-有色金属-其他金属与采矿-铝</t>
  </si>
  <si>
    <t>S883510517.IB</t>
  </si>
  <si>
    <t>26中铝集MTN006(科创债)</t>
  </si>
  <si>
    <t>中国建设银行股份有限公司</t>
  </si>
  <si>
    <t>中国铝业集团有限公司</t>
  </si>
  <si>
    <t>工业-企业服务-商业服务与用品-综合支持服务</t>
  </si>
  <si>
    <t>S883519673.IB</t>
  </si>
  <si>
    <t>26越秀租赁MTN003A(绿色)</t>
  </si>
  <si>
    <t>3.00(0.00~5.00)</t>
  </si>
  <si>
    <t>5-</t>
  </si>
  <si>
    <t>S883492030.IB</t>
  </si>
  <si>
    <t>26临港经济MTN004</t>
  </si>
  <si>
    <t>7Y+3Y</t>
  </si>
  <si>
    <t>上海临港经济发展(集团)有限公司</t>
  </si>
  <si>
    <t>4+</t>
  </si>
  <si>
    <t>舆情：85.6亿担保、495亿债务压身的宿州城投：15亿短融叫停，20亿中票推进</t>
  </si>
  <si>
    <t>S883598480.IB</t>
  </si>
  <si>
    <t>26宿州城投MTN005</t>
  </si>
  <si>
    <t>宿州市城市建设投资集团(控股)有限公司</t>
  </si>
  <si>
    <t>舆情：四川机场集团原党委委员、副董事长、副总经理杨太东接受审查调查</t>
  </si>
  <si>
    <t>26四川机场MTN002(绿色)</t>
  </si>
  <si>
    <t>中信银行股份有限公司</t>
  </si>
  <si>
    <t>四川省机场集团有限公司</t>
  </si>
  <si>
    <t>S883526006.IB</t>
  </si>
  <si>
    <t>26国能江苏MTN004(乡村振兴)</t>
  </si>
  <si>
    <t>中国农业银行股份有限公司</t>
  </si>
  <si>
    <t>国家能源集团江苏电力有限公司</t>
  </si>
  <si>
    <t>公用事业</t>
  </si>
  <si>
    <t>舆情：中国燃气(00384.HK)年度股东应占溢利同比降16.38%至27.19亿港元</t>
  </si>
  <si>
    <t>公用事业--公用事业Ⅱ--燃气Ⅲ--燃气Ⅳ</t>
  </si>
  <si>
    <t>S883496586.IB</t>
  </si>
  <si>
    <t>26中燃气MTN007</t>
  </si>
  <si>
    <t>中国燃气控股有限公司</t>
  </si>
  <si>
    <t>港澳台资企业</t>
  </si>
  <si>
    <t>S883519683.IB</t>
  </si>
  <si>
    <t>26吴中城投MTN005</t>
  </si>
  <si>
    <t>苏州市吴中城市建设投资集团有限公司</t>
  </si>
  <si>
    <t>5+</t>
  </si>
  <si>
    <t>工业--环保Ⅱ--环保Ⅲ--环保装备</t>
  </si>
  <si>
    <t>S883533359.IB</t>
  </si>
  <si>
    <t>26国联MTN004</t>
  </si>
  <si>
    <t>无锡市国联发展(集团)有限公司</t>
  </si>
  <si>
    <t>舆情：国务院国资委党委专题通报中国航材有关问题</t>
  </si>
  <si>
    <t>工业--国防军工--航空航天与国防Ⅲ--航空航天</t>
  </si>
  <si>
    <t>S883525951.IB</t>
  </si>
  <si>
    <t>26中国航材MTN002</t>
  </si>
  <si>
    <t>中国航空器材集团有限公司</t>
  </si>
  <si>
    <t>S883531564.IB</t>
  </si>
  <si>
    <t>26徐工集团MTN011(科创债)</t>
  </si>
  <si>
    <t>南京银行股份有限公司</t>
  </si>
  <si>
    <t>徐州工程机械集团有限公司</t>
  </si>
  <si>
    <t>机械设备</t>
  </si>
  <si>
    <t>S883501173.IB</t>
  </si>
  <si>
    <t>26国联MTN003</t>
  </si>
  <si>
    <t>S883795571.IB</t>
  </si>
  <si>
    <t>26南部新城PPN004</t>
  </si>
  <si>
    <t>3.00(0.00~3.00)</t>
  </si>
  <si>
    <t>定向工具</t>
  </si>
  <si>
    <t>重庆市南部新城产业投资集团有限公司</t>
  </si>
  <si>
    <t>S883795569.IB</t>
  </si>
  <si>
    <t>26江津园区PPN002</t>
  </si>
  <si>
    <t>重庆农村商业银行股份有限公司</t>
  </si>
  <si>
    <t>西部(重庆)科学城江津园区开发建设集团有限公司</t>
  </si>
  <si>
    <t>S883795574.IB</t>
  </si>
  <si>
    <t>26建安投资PPN002B</t>
  </si>
  <si>
    <t>1.00(0.00~5.20)</t>
  </si>
  <si>
    <t>中国光大银行股份有限公司</t>
  </si>
  <si>
    <t>建安投资控股集团有限公司</t>
  </si>
  <si>
    <t>S883795572.IB</t>
  </si>
  <si>
    <t>26建安投资PPN002A</t>
  </si>
  <si>
    <t>4.20(0.00~5.20)</t>
  </si>
  <si>
    <t>工业--交通运输--铁路公路运输--地面货运</t>
  </si>
  <si>
    <t>S883795570.IB</t>
  </si>
  <si>
    <t>26滁州经开PPN001</t>
  </si>
  <si>
    <t>徽商银行股份有限公司</t>
  </si>
  <si>
    <t>滁州经济技术开发总公司</t>
  </si>
  <si>
    <t>S883795573.IB</t>
  </si>
  <si>
    <t>26溧水经开PPN011</t>
  </si>
  <si>
    <t>中国银行股份有限公司</t>
  </si>
  <si>
    <t>南京溧水经济技术开发集团有限公司</t>
  </si>
  <si>
    <t>S883795575.IB</t>
  </si>
  <si>
    <t>26宜兴经开PPN001</t>
  </si>
  <si>
    <t>宁波银行股份有限公司</t>
  </si>
  <si>
    <t>宜兴经开区投资发展集团有限公司</t>
  </si>
  <si>
    <t>284198.SH</t>
  </si>
  <si>
    <t>26广成01</t>
  </si>
  <si>
    <t>私募债</t>
  </si>
  <si>
    <t>天津广成投资集团有限公司</t>
  </si>
  <si>
    <t>284207.SH</t>
  </si>
  <si>
    <t>26中铁04</t>
  </si>
  <si>
    <t>中国铁建房地产集团有限公司</t>
  </si>
  <si>
    <t>284058.SH</t>
  </si>
  <si>
    <t>26平发05</t>
  </si>
  <si>
    <t>7Y</t>
  </si>
  <si>
    <t>3.00(0.00~6.00)</t>
  </si>
  <si>
    <t>国联民生证券承销保荐有限公司</t>
  </si>
  <si>
    <t>平顶山发展投资控股集团有限公司</t>
  </si>
  <si>
    <t>284072.SH</t>
  </si>
  <si>
    <t>26曹国10</t>
  </si>
  <si>
    <t>5.85(0.00~11.70)</t>
  </si>
  <si>
    <t>曹妃甸国控投资集团有限公司</t>
  </si>
  <si>
    <t>7+</t>
  </si>
  <si>
    <t>284057.SH</t>
  </si>
  <si>
    <t>26平发04</t>
  </si>
  <si>
    <t>284071.SH</t>
  </si>
  <si>
    <t>26曹国09</t>
  </si>
  <si>
    <t>284184.SH</t>
  </si>
  <si>
    <t>26福山01</t>
  </si>
  <si>
    <t>烟台市福山区国有控股集团有限公司</t>
  </si>
  <si>
    <t>284208.SH</t>
  </si>
  <si>
    <t>26鲁旅01</t>
  </si>
  <si>
    <t>东方证券股份有限公司</t>
  </si>
  <si>
    <t>山东海洋文化旅游发展集团有限公司</t>
  </si>
  <si>
    <t>工业--工业贸易与综合--贸易公司与经销商Ⅲ--贸易公司与经销商Ⅳ</t>
  </si>
  <si>
    <t>284063.SH</t>
  </si>
  <si>
    <t>26温产K1</t>
  </si>
  <si>
    <t>温州市城市产业发展集团有限公司</t>
  </si>
  <si>
    <t>电力设备</t>
  </si>
  <si>
    <t>284173.SH</t>
  </si>
  <si>
    <t>26虞水04</t>
  </si>
  <si>
    <t>2.50(0.00~5.00)</t>
  </si>
  <si>
    <t>绍兴市上虞区国有资本投资运营有限公司</t>
  </si>
  <si>
    <t>国金证券股份有限公司</t>
  </si>
  <si>
    <t>绍兴上虞农业农村发展集团有限公司</t>
  </si>
  <si>
    <t>284225.SH</t>
  </si>
  <si>
    <t>26海控04</t>
  </si>
  <si>
    <t>4.00(0.00~8.00)</t>
  </si>
  <si>
    <t>青岛西海岸新区海洋控股集团有限公司</t>
  </si>
  <si>
    <t>284224.SH</t>
  </si>
  <si>
    <t>26海控03</t>
  </si>
  <si>
    <t>工业--企业服务--商业服务与用品--综合支持服务</t>
  </si>
  <si>
    <t>284167.SH</t>
  </si>
  <si>
    <t>26长三角</t>
  </si>
  <si>
    <t>长三角投资(上海)有限公司</t>
  </si>
  <si>
    <t>舆情：因涉及工程款纠纷，被执行金额合计1.36亿元</t>
  </si>
  <si>
    <t>284227.SH</t>
  </si>
  <si>
    <t>26阳安01</t>
  </si>
  <si>
    <t>6.00(0.00~10.00)</t>
  </si>
  <si>
    <t>四川发展融资担保股份有限公司</t>
  </si>
  <si>
    <t>四川阳安交通投资有限公司</t>
  </si>
  <si>
    <t>284228.SH</t>
  </si>
  <si>
    <t>26阳安02</t>
  </si>
  <si>
    <t>4.00(0.00~10.00)</t>
  </si>
  <si>
    <t>重庆三峡融资担保集团股份有限公司</t>
  </si>
  <si>
    <t>284002.SH</t>
  </si>
  <si>
    <t>26宁现01</t>
  </si>
  <si>
    <t>宁波市北仑区现代服务业发展集团有限公司</t>
  </si>
  <si>
    <t>城投--公用事业--公用事业Ⅱ--燃气Ⅲ--燃气Ⅳ</t>
  </si>
  <si>
    <t>284156.SH</t>
  </si>
  <si>
    <t>26余投03</t>
  </si>
  <si>
    <t>余姚市城市建设投资发展有限公司</t>
  </si>
  <si>
    <t>舆情：公司总经理肖壮接受审查调查</t>
  </si>
  <si>
    <t>可选消费--汽车与零配件--汽车--汽车制造</t>
  </si>
  <si>
    <t>520517.SZ</t>
  </si>
  <si>
    <t>26南交04</t>
  </si>
  <si>
    <t>南昌市交通投资集团有限公司</t>
  </si>
  <si>
    <t>商贸零售</t>
  </si>
  <si>
    <t>284264.SH</t>
  </si>
  <si>
    <t>26南安02</t>
  </si>
  <si>
    <t>南安市发展投资集团有限公司</t>
  </si>
  <si>
    <t>284196.SH</t>
  </si>
  <si>
    <t>26振兴01</t>
  </si>
  <si>
    <t>德邦证券股份有限公司</t>
  </si>
  <si>
    <t>山东省财金乡村振兴有限公司</t>
  </si>
  <si>
    <t>284168.SH</t>
  </si>
  <si>
    <t>26义乌05</t>
  </si>
  <si>
    <t>义乌市国有资本运营有限公司</t>
  </si>
  <si>
    <t>舆情：成都交通投资集团党委副书记、副董事长、总经理饶程主动投案接受审查调查</t>
  </si>
  <si>
    <t>520521.SZ</t>
  </si>
  <si>
    <t>26成交K1</t>
  </si>
  <si>
    <t>AAA/AAAsti</t>
  </si>
  <si>
    <t>成都交通投资集团有限公司</t>
  </si>
  <si>
    <t>城投--工业--工业贸易与综合--贸易公司与经销商Ⅲ--贸易公司与经销商Ⅳ</t>
  </si>
  <si>
    <t>284185.SH</t>
  </si>
  <si>
    <t>26泸交01</t>
  </si>
  <si>
    <t>泸州交通物流集团有限公司</t>
  </si>
  <si>
    <t>284172.SH</t>
  </si>
  <si>
    <t>26虞水03</t>
  </si>
  <si>
    <t>284180.SH</t>
  </si>
  <si>
    <t>26嘉城05</t>
  </si>
  <si>
    <t>5Y+5Y</t>
  </si>
  <si>
    <t>嘉兴市城市投资发展集团有限公司</t>
  </si>
  <si>
    <t>284263.SH</t>
  </si>
  <si>
    <t>26南安01</t>
  </si>
  <si>
    <t>日常消费--食品饮料--食品--食品加工与肉类</t>
  </si>
  <si>
    <t>520513.SZ</t>
  </si>
  <si>
    <t>26禅城02</t>
  </si>
  <si>
    <t>广发证券股份有限公司</t>
  </si>
  <si>
    <t>佛山市禅城区城建集团有限公司</t>
  </si>
  <si>
    <t>284125.SH</t>
  </si>
  <si>
    <t>26宝山K1</t>
  </si>
  <si>
    <t>上海宝山国有资本投资管理(集团)有限公司</t>
  </si>
  <si>
    <t>284200.SH</t>
  </si>
  <si>
    <t>26智谷02</t>
  </si>
  <si>
    <t>财信证券股份有限公司</t>
  </si>
  <si>
    <t>湖南智谷投资发展集团有限公司</t>
  </si>
  <si>
    <t>工业--交通运输--交通基础设施--公路与铁路</t>
  </si>
  <si>
    <t>246207.SH</t>
  </si>
  <si>
    <t>26锡铁G1</t>
  </si>
  <si>
    <t>一般公司债</t>
  </si>
  <si>
    <t>无锡地铁集团有限公司</t>
  </si>
  <si>
    <t>246182.SH</t>
  </si>
  <si>
    <t>G26建租4</t>
  </si>
  <si>
    <t>中建投租赁股份有限公司</t>
  </si>
  <si>
    <t>工业--交通运输--铁路公路运输--铁路运输</t>
  </si>
  <si>
    <t>246174.SH</t>
  </si>
  <si>
    <t>GC榕铁03</t>
  </si>
  <si>
    <t>福州地铁集团有限公司</t>
  </si>
  <si>
    <t>能源--石油石化--能源设备与服务--石油天然气设备与服务</t>
  </si>
  <si>
    <t>246144.SH</t>
  </si>
  <si>
    <t>26油服K2</t>
  </si>
  <si>
    <t>中石化石油工程技术服务股份有限公司</t>
  </si>
  <si>
    <t>石油石化</t>
  </si>
  <si>
    <t>公用事业--公用事业Ⅱ--电力--电力公用事业</t>
  </si>
  <si>
    <t>525037.SZ</t>
  </si>
  <si>
    <t>26金中GCK01</t>
  </si>
  <si>
    <t>川财证券有限责任公司</t>
  </si>
  <si>
    <t>云南华电金沙江中游水电开发有限公司</t>
  </si>
  <si>
    <t>入池进度表</t>
  </si>
  <si>
    <t>入池日期</t>
  </si>
  <si>
    <t>债券名</t>
  </si>
  <si>
    <t>主体名</t>
  </si>
  <si>
    <t>主体评级</t>
  </si>
  <si>
    <t>入池</t>
  </si>
  <si>
    <t>发起人</t>
  </si>
  <si>
    <t>提交</t>
  </si>
  <si>
    <t>模拟分</t>
  </si>
  <si>
    <t>分析</t>
  </si>
  <si>
    <t>审核</t>
  </si>
  <si>
    <t>实际分</t>
  </si>
  <si>
    <t>发布</t>
  </si>
  <si>
    <t>26澴产K1</t>
  </si>
  <si>
    <t>北澴川产业投资集团有限公司</t>
  </si>
  <si>
    <t>2-</t>
  </si>
  <si>
    <t>2+</t>
  </si>
  <si>
    <t>26盐资01</t>
  </si>
  <si>
    <t>26青岛国信MTN006</t>
  </si>
  <si>
    <t>26即墨旅投PPN001B</t>
  </si>
  <si>
    <t>青岛即墨科投控股有限公司</t>
  </si>
  <si>
    <t>26威海01</t>
  </si>
  <si>
    <t>24邢路02</t>
  </si>
  <si>
    <t>25九合财金MTN001</t>
  </si>
  <si>
    <t>26厦门贸控MTN009</t>
  </si>
  <si>
    <t>26厦门贸控MTN010</t>
  </si>
  <si>
    <t>24太湖科技PPN001</t>
  </si>
  <si>
    <t>无锡太湖国际科技园投资开发有限公司</t>
  </si>
  <si>
    <t>23太湖科技PPN001</t>
  </si>
  <si>
    <t>24太湖科技MTN001</t>
  </si>
  <si>
    <t>24太湖科技MTN002</t>
  </si>
  <si>
    <t>26黄岛Z2</t>
  </si>
  <si>
    <t>26即科K1</t>
  </si>
  <si>
    <t>26即科K2</t>
  </si>
  <si>
    <t>26淄博01</t>
  </si>
  <si>
    <t>26淄博03</t>
  </si>
  <si>
    <t>26兴融02</t>
  </si>
  <si>
    <t>浙江长兴产城融合发展集团有限公司</t>
  </si>
  <si>
    <t>26广元园投PPN001</t>
  </si>
  <si>
    <t>广元市园区建设投资集团有限公司</t>
  </si>
  <si>
    <t>3-</t>
  </si>
  <si>
    <t>26嘉北01</t>
  </si>
  <si>
    <t>嘉善县北部未来城市建设发展有限公司</t>
  </si>
  <si>
    <t>26平湖03</t>
  </si>
  <si>
    <t>平湖国发投控股集团有限公司</t>
  </si>
  <si>
    <t>25珠科K1</t>
  </si>
  <si>
    <t> 25万州经开MTN001</t>
  </si>
  <si>
    <t xml:space="preserve">26常经01 </t>
  </si>
  <si>
    <t>常熟经开控股有限公司</t>
  </si>
  <si>
    <t>3+</t>
  </si>
  <si>
    <t>24惠民城建PPN002</t>
  </si>
  <si>
    <t xml:space="preserve">24金水02 </t>
  </si>
  <si>
    <t>26松滋01</t>
  </si>
  <si>
    <t xml:space="preserve">26泉汇产发MTN001B </t>
  </si>
  <si>
    <t>李新鹏,陈珍妮</t>
  </si>
  <si>
    <t>26古厝11</t>
  </si>
  <si>
    <t>26东港02</t>
  </si>
  <si>
    <t>东港投资发展集团有限公司</t>
  </si>
  <si>
    <t>26北方企业MTN001</t>
  </si>
  <si>
    <t>上海北方企业（集团）有限公司</t>
  </si>
  <si>
    <t>26温产02</t>
  </si>
  <si>
    <t>26荆实GT02</t>
  </si>
  <si>
    <t>25咸阳城发MTN001</t>
  </si>
  <si>
    <t>25武金控MTN005</t>
  </si>
  <si>
    <t>24城发投资MTN006B</t>
  </si>
  <si>
    <t>25城发投资MTN001A</t>
  </si>
  <si>
    <t>22咸金06</t>
  </si>
  <si>
    <t>25华裕01</t>
  </si>
  <si>
    <t>25油城01</t>
  </si>
  <si>
    <t>25枫荻01</t>
  </si>
  <si>
    <t>24洛旅V5</t>
  </si>
  <si>
    <t>23鑫通02</t>
  </si>
  <si>
    <t>22鄂联01</t>
  </si>
  <si>
    <t>25济宁能源MTN001</t>
  </si>
  <si>
    <t>25河南日报MTN002</t>
  </si>
  <si>
    <t>河南日报报业集团</t>
  </si>
  <si>
    <t>24山金01</t>
  </si>
  <si>
    <t>山钢资本控股(深圳)有限公司</t>
  </si>
  <si>
    <t>撤回</t>
  </si>
  <si>
    <t>G25吉泰1</t>
  </si>
  <si>
    <t>河南吉泰集团有限公司</t>
  </si>
  <si>
    <t>21金水01</t>
  </si>
  <si>
    <t>26恒业02</t>
  </si>
  <si>
    <t>25桂债08</t>
  </si>
  <si>
    <t>24潍坊滨投PPN001</t>
  </si>
  <si>
    <t>25潍坊滨投PPN001A</t>
  </si>
  <si>
    <t>扬中市城市建设投资发展集团有限公司</t>
  </si>
  <si>
    <t>没分析</t>
  </si>
  <si>
    <t xml:space="preserve"> 26龙口03</t>
  </si>
  <si>
    <t>龙口市港城投资开发建设集团有限公司</t>
  </si>
  <si>
    <t xml:space="preserve">24即墨城投PPN004 </t>
  </si>
  <si>
    <t>26如东01</t>
  </si>
  <si>
    <t>如东县金鑫交通工程建设投资有限公司</t>
  </si>
  <si>
    <t>26进贤01</t>
  </si>
  <si>
    <t>进贤创新发展控股集团有限公司</t>
  </si>
  <si>
    <t>26进贤02</t>
  </si>
  <si>
    <t>24国益01</t>
  </si>
  <si>
    <t xml:space="preserve">26河口01 </t>
  </si>
  <si>
    <t>24昆明新都MTN001</t>
  </si>
  <si>
    <t>昆明新都投资有限公司</t>
  </si>
  <si>
    <t>25昆明空港PPN003</t>
  </si>
  <si>
    <t>昆明空港投资开发集团有限公司</t>
  </si>
  <si>
    <t>26智都投资MTN001</t>
  </si>
  <si>
    <t>广州智都投资控股集团有限公司</t>
  </si>
  <si>
    <t>黄芷晴,李新鹏</t>
  </si>
  <si>
    <t xml:space="preserve">26济南市中MTN002 </t>
  </si>
  <si>
    <t>26太重MTN007(科创债)</t>
  </si>
  <si>
    <t xml:space="preserve"> 26中国平煤MTN001</t>
  </si>
  <si>
    <t>26冀中能源MTN008B</t>
  </si>
  <si>
    <t>等募集书</t>
  </si>
  <si>
    <t>26唐山控股MTN001</t>
  </si>
  <si>
    <t>26焦发03</t>
  </si>
  <si>
    <t>25株高G1</t>
  </si>
  <si>
    <t>24景旅Y1</t>
  </si>
  <si>
    <t xml:space="preserve">26长飞光纤MTN001(科创债) </t>
  </si>
  <si>
    <t>长飞光纤光缆股份有限公司</t>
  </si>
  <si>
    <t>侯茂芜撤回</t>
  </si>
  <si>
    <t>26国运01</t>
  </si>
  <si>
    <t>24南海V1</t>
  </si>
  <si>
    <t>25聊城04</t>
  </si>
  <si>
    <t xml:space="preserve">26桂债01 </t>
  </si>
  <si>
    <t>26清浦01</t>
  </si>
  <si>
    <t>26西港01</t>
  </si>
  <si>
    <t>26盐城港MTN001</t>
  </si>
  <si>
    <t>江苏盐城港控股集团有限公司</t>
  </si>
  <si>
    <t>26饶国01</t>
  </si>
  <si>
    <t>上饶市国发产投集团有限公司</t>
  </si>
  <si>
    <t>25咸阳城发MTN002</t>
  </si>
  <si>
    <t>26盐城国投MTN003</t>
  </si>
  <si>
    <t>21天盈01</t>
  </si>
  <si>
    <t>24潍金01</t>
  </si>
  <si>
    <t>3-债项</t>
  </si>
  <si>
    <t>如东县新天地投资发展有限公司</t>
  </si>
  <si>
    <t>26昌泰02</t>
  </si>
  <si>
    <t>26农业银行CD148</t>
  </si>
  <si>
    <t>26桂新02</t>
  </si>
  <si>
    <t>26日交06</t>
  </si>
  <si>
    <t>曲靖市麒麟区城乡建设投资（集团）有限公司</t>
  </si>
  <si>
    <t>26渝供销PPN002(乡村振兴)</t>
  </si>
  <si>
    <t>24西安高新MTN015</t>
  </si>
  <si>
    <t>临沂新动能产业开发有限公司</t>
  </si>
  <si>
    <t>江苏长江口开发集团有限公司</t>
  </si>
  <si>
    <t>24连云城建PPN002</t>
  </si>
  <si>
    <t>连云港市城建控股集团有限公司</t>
  </si>
  <si>
    <t>26港投01</t>
  </si>
  <si>
    <t>苏州太仓临港投资发展集团有限公司</t>
  </si>
  <si>
    <t>天津市金地城市建设有限公司</t>
  </si>
  <si>
    <t>24商新02</t>
  </si>
  <si>
    <t>商丘新业基础设施建设开发有限公司</t>
  </si>
  <si>
    <t xml:space="preserve">26鄂旅02 </t>
  </si>
  <si>
    <t>26水发集团MTN003A</t>
  </si>
  <si>
    <t>24大足国资PPN001</t>
  </si>
  <si>
    <t>24綦江新城MTN001</t>
  </si>
  <si>
    <t>25豫航空港MTN007</t>
  </si>
  <si>
    <t>25海洋Y1</t>
  </si>
  <si>
    <t>26赣建03</t>
  </si>
  <si>
    <t>26崇川01</t>
  </si>
  <si>
    <t>26麒麟01</t>
  </si>
  <si>
    <t>26嘉GT1</t>
  </si>
  <si>
    <t>嘉兴湾北科创发展集团有限公司</t>
  </si>
  <si>
    <t>26淄产Z1</t>
  </si>
  <si>
    <t>26乐高03</t>
  </si>
  <si>
    <t>26光明房产MTN002</t>
  </si>
  <si>
    <t>23汇嘉置业MTN001(项目收益</t>
  </si>
  <si>
    <t>商丘市汇嘉置业有限公司</t>
  </si>
  <si>
    <t>1-</t>
  </si>
  <si>
    <t>债项</t>
  </si>
  <si>
    <t>26粤海水务01</t>
  </si>
  <si>
    <t>广东粤海控股集团有限公司</t>
  </si>
  <si>
    <t>26宜公01</t>
  </si>
  <si>
    <t>26哈城02</t>
  </si>
  <si>
    <t>26哈城01</t>
  </si>
  <si>
    <t>26浙交投MTN005</t>
  </si>
  <si>
    <t>26德交01</t>
  </si>
  <si>
    <t>26乌城02</t>
  </si>
  <si>
    <t>26江阴国联PPN003</t>
  </si>
  <si>
    <t>新沂经济开发区建设发展有限公司</t>
  </si>
  <si>
    <t>26文体02</t>
  </si>
  <si>
    <t>新疆建发文体产业投资有限公司</t>
  </si>
  <si>
    <t>25乌铁Y1</t>
  </si>
  <si>
    <t>25泰山财金MTN002B</t>
  </si>
  <si>
    <t xml:space="preserve">25沈阳地铁MTN005 </t>
  </si>
  <si>
    <t>26郑安02</t>
  </si>
  <si>
    <t>郑州城发安居科技有限公司</t>
  </si>
  <si>
    <t>26融杭02</t>
  </si>
  <si>
    <t>桐乡市融杭产业发展集团有限公司</t>
  </si>
  <si>
    <t>26浙江建投MTN001</t>
  </si>
  <si>
    <t>浙江省经济建设投资有限公司</t>
  </si>
  <si>
    <t>债券搜不到</t>
  </si>
  <si>
    <t>25晋桥YK03</t>
  </si>
  <si>
    <t>25象屿Y3</t>
  </si>
  <si>
    <t>26象屿MTN005</t>
  </si>
  <si>
    <t>26新疆城建MTN002</t>
  </si>
  <si>
    <t>26渝隆01</t>
  </si>
  <si>
    <t>26浔交02</t>
  </si>
  <si>
    <t>湖州市南浔区交通投资集团有限公司</t>
  </si>
  <si>
    <t>26信阳建投MTN003</t>
  </si>
  <si>
    <t>26罗投控03</t>
  </si>
  <si>
    <t>深圳市罗湖投资控股有限公司</t>
  </si>
  <si>
    <t>26维信诺MTN004(科创债)</t>
  </si>
  <si>
    <t>合肥维信诺科技有限公司</t>
  </si>
  <si>
    <t>26大集GT01</t>
  </si>
  <si>
    <t>山东大集控股集团有限公司</t>
  </si>
  <si>
    <t>26虞交03</t>
  </si>
  <si>
    <t>绍兴上虞交通集团有限公司</t>
  </si>
  <si>
    <t>26甬开01</t>
  </si>
  <si>
    <t>宁波江北开投控股集团有限公司</t>
  </si>
  <si>
    <t>26镇海01</t>
  </si>
  <si>
    <t>宁波市镇开集团有限公司</t>
  </si>
  <si>
    <t>26明投03</t>
  </si>
  <si>
    <t>三明市产业投资集团有限公司</t>
  </si>
  <si>
    <t xml:space="preserve">24博山01 </t>
  </si>
  <si>
    <t>淄博市博山区公有资产经营有限公司</t>
  </si>
  <si>
    <t>26西经发</t>
  </si>
  <si>
    <t>26大横琴MTN001</t>
  </si>
  <si>
    <t>25焦投05</t>
  </si>
  <si>
    <t>25济中01</t>
  </si>
  <si>
    <t>25建发03</t>
  </si>
  <si>
    <t>25章控02</t>
  </si>
  <si>
    <t xml:space="preserve">25枝金债 </t>
  </si>
  <si>
    <t>25金安01</t>
  </si>
  <si>
    <t>26青岛国信MTN008B</t>
  </si>
  <si>
    <t>26豫桥05</t>
  </si>
  <si>
    <t>26响水01</t>
  </si>
  <si>
    <t>20晋建专项债02</t>
  </si>
  <si>
    <t>26金城G1</t>
  </si>
  <si>
    <t>25济中02</t>
  </si>
  <si>
    <t xml:space="preserve">26西投K1 </t>
  </si>
  <si>
    <t>26上海合晶MTN001(科创债）</t>
  </si>
  <si>
    <t>25炬能02</t>
  </si>
  <si>
    <t>GC兰轨02</t>
  </si>
  <si>
    <t xml:space="preserve">24云建投MTN014 </t>
  </si>
  <si>
    <t>25贵安02</t>
  </si>
  <si>
    <t>23贵安01</t>
  </si>
  <si>
    <t>26平发02</t>
  </si>
  <si>
    <t>26平发03</t>
  </si>
  <si>
    <t>24高密02</t>
  </si>
  <si>
    <t>24遵资05</t>
  </si>
  <si>
    <t>21安泰债</t>
  </si>
  <si>
    <t>24弋投02</t>
  </si>
  <si>
    <t>23陕旅02</t>
  </si>
  <si>
    <t>26泗洪01</t>
  </si>
  <si>
    <t>泗洪县宏源公有资产经营集团有限公司</t>
  </si>
  <si>
    <t>26康富租赁MTN001</t>
  </si>
  <si>
    <t>中国康富国际租赁股份有限公司</t>
  </si>
  <si>
    <t>26太新Y7</t>
  </si>
  <si>
    <t>债项已批</t>
  </si>
  <si>
    <t>26京城01</t>
  </si>
  <si>
    <t>26云建投MTN001</t>
  </si>
  <si>
    <t>郑一凡,李新鹏</t>
  </si>
  <si>
    <t>26惠众01</t>
  </si>
  <si>
    <t>山东惠众民生发展集团有限公司</t>
  </si>
  <si>
    <t>25兰州轨交MTN001B</t>
  </si>
  <si>
    <t>25景投07</t>
  </si>
  <si>
    <t>26引领V2</t>
  </si>
  <si>
    <t>唐一夫,李新鹏</t>
  </si>
  <si>
    <t>26靖滨01</t>
  </si>
  <si>
    <t>26温城02</t>
  </si>
  <si>
    <t>25古蔺03</t>
  </si>
  <si>
    <t>26三门峡MTN003</t>
  </si>
  <si>
    <t>弥勒工业园区投资开发有限公司</t>
  </si>
  <si>
    <t>26珠华04</t>
  </si>
  <si>
    <t>25安徽水利MTN001</t>
  </si>
  <si>
    <t>安徽建工水利开发投资集团有限公司</t>
  </si>
  <si>
    <t>债项评级已完成</t>
  </si>
  <si>
    <t>26泰华05</t>
  </si>
  <si>
    <t>泰州华信药业投资有限公司</t>
  </si>
  <si>
    <t>25世园03</t>
  </si>
  <si>
    <t>26绍滨控股MTN003</t>
  </si>
  <si>
    <t>26鲁公04</t>
  </si>
  <si>
    <t>26连投01</t>
  </si>
  <si>
    <t>26津金01</t>
  </si>
  <si>
    <t>26宣城国资MTN001</t>
  </si>
  <si>
    <t>昆明发展投资集团有限公司</t>
  </si>
  <si>
    <t>24鄂联投MTN007</t>
  </si>
  <si>
    <t>（周一做）</t>
  </si>
  <si>
    <t>26淳安02</t>
  </si>
  <si>
    <t>淳安县国有资产投资集团有限公司</t>
  </si>
  <si>
    <t>26菏投01</t>
  </si>
  <si>
    <t xml:space="preserve">25双溪02 </t>
  </si>
  <si>
    <t>25长开G2</t>
  </si>
  <si>
    <t>26包交01</t>
  </si>
  <si>
    <t>26资产K2</t>
  </si>
  <si>
    <t>资阳产业投资集团有限公司</t>
  </si>
  <si>
    <t>26汉江国资MTN005</t>
  </si>
  <si>
    <t>26漳经01</t>
  </si>
  <si>
    <t>25德兴01</t>
  </si>
  <si>
    <t>26金控01</t>
  </si>
  <si>
    <t>江苏金坛投资控股有限公司</t>
  </si>
  <si>
    <t>25青龙01</t>
  </si>
  <si>
    <t>25厦控Y3</t>
  </si>
  <si>
    <t>22惠民城建PPN003</t>
  </si>
  <si>
    <t>25恒业03</t>
  </si>
  <si>
    <t>26厦门产投MTN001</t>
  </si>
  <si>
    <t>26济宁城发K1</t>
  </si>
  <si>
    <t xml:space="preserve">21邹城03 </t>
  </si>
  <si>
    <t>21台州债01</t>
  </si>
  <si>
    <t xml:space="preserve">26肥产01 </t>
  </si>
  <si>
    <t>25鑫通01</t>
  </si>
  <si>
    <t>24株高04</t>
  </si>
  <si>
    <t>24赣建04</t>
  </si>
  <si>
    <t>26创达01</t>
  </si>
  <si>
    <t>日照创达产业集团有限公司</t>
  </si>
  <si>
    <t>26曹国08</t>
  </si>
  <si>
    <t>25鲁商01</t>
  </si>
  <si>
    <t>26陆丰01</t>
  </si>
  <si>
    <t>陆丰市投资控股有限公司</t>
  </si>
  <si>
    <t>乐山城市更新集团有限公司</t>
  </si>
  <si>
    <t>25临投K2</t>
  </si>
  <si>
    <t xml:space="preserve">24青莱03 </t>
  </si>
  <si>
    <t>25利民02</t>
  </si>
  <si>
    <t xml:space="preserve">25大港04 </t>
  </si>
  <si>
    <t>25即城V1</t>
  </si>
  <si>
    <t>青岛市即墨区城市运营发展有限公司</t>
  </si>
  <si>
    <t xml:space="preserve">25宏河控股MTN003 </t>
  </si>
  <si>
    <t>郑州航空港枢纽建设有限公司</t>
  </si>
  <si>
    <t>22曲文投MTN001</t>
  </si>
  <si>
    <t>24曲江金融MTN001</t>
  </si>
  <si>
    <t>26晋能电力MTN006（永续）</t>
  </si>
  <si>
    <t>晋能控股电力集团有限公司</t>
  </si>
  <si>
    <t>26南京创投MTN003(科创债)</t>
  </si>
  <si>
    <t>南京市创新投资集团有限责任公司</t>
  </si>
  <si>
    <t>25 曹国 02</t>
  </si>
  <si>
    <t>25 大港 02</t>
  </si>
  <si>
    <t>25 万盛 02</t>
  </si>
  <si>
    <t>24 大港 02</t>
  </si>
  <si>
    <t>开封市新宋风建设投资有限公司</t>
  </si>
  <si>
    <t>25汇泓01</t>
  </si>
  <si>
    <t>25首城02</t>
  </si>
  <si>
    <t>25郑汴01</t>
  </si>
  <si>
    <t>25旅投02</t>
  </si>
  <si>
    <t>25济康01</t>
  </si>
  <si>
    <t>25昆投01</t>
  </si>
  <si>
    <t>G26百工</t>
  </si>
  <si>
    <t>广西百色工业投资发展集团有限公司</t>
  </si>
  <si>
    <t>类别</t>
  </si>
  <si>
    <t>物品</t>
  </si>
  <si>
    <t>购入时间</t>
  </si>
  <si>
    <t>总数量</t>
  </si>
  <si>
    <t>已使用</t>
  </si>
  <si>
    <t>未使用</t>
  </si>
  <si>
    <t>黑色皮面活页笔记本</t>
  </si>
  <si>
    <t>胶棒</t>
  </si>
  <si>
    <t>黑色签字笔</t>
  </si>
  <si>
    <t>笔筒</t>
  </si>
  <si>
    <t>便利贴</t>
  </si>
  <si>
    <t>打印纸A4</t>
  </si>
  <si>
    <t>6包</t>
  </si>
  <si>
    <t>打印纸B5</t>
  </si>
  <si>
    <t>8包</t>
  </si>
  <si>
    <t>插线板</t>
  </si>
  <si>
    <t>长尾夹</t>
  </si>
  <si>
    <t>2盒</t>
  </si>
  <si>
    <t>关联类型</t>
  </si>
  <si>
    <t>关联企业名称</t>
  </si>
  <si>
    <t>社会同一信用代码</t>
  </si>
  <si>
    <t>是否控股股东及其重要上下游企业</t>
  </si>
  <si>
    <t>关联法人</t>
  </si>
  <si>
    <t>重庆两江生态渔业发展有限公司</t>
  </si>
  <si>
    <t>91500109709497552X</t>
  </si>
  <si>
    <t>是</t>
  </si>
  <si>
    <t>重庆市成易水利开发有限公司</t>
  </si>
  <si>
    <t>91500113327741337Q</t>
  </si>
  <si>
    <t>重庆市奉节县夔门峡新能源开发有限公司</t>
  </si>
  <si>
    <t>91500236595168442T</t>
  </si>
  <si>
    <t>重庆市涪陵区御泉河水务有限责任公司</t>
  </si>
  <si>
    <t>91500102MA5U63WJ3X</t>
  </si>
  <si>
    <t>重庆市金佛山水利水电开发有限公司</t>
  </si>
  <si>
    <t>915001197659161926</t>
  </si>
  <si>
    <t>重庆水务环境控股集团渝东南自来水有限公司</t>
  </si>
  <si>
    <t>91500114781591957H</t>
  </si>
  <si>
    <t>酉阳县兴源水电开发有限公司</t>
  </si>
  <si>
    <t>91500242753084587U</t>
  </si>
  <si>
    <t>重庆长兴水利水电有限公司</t>
  </si>
  <si>
    <t>9150024174533948XB</t>
  </si>
  <si>
    <t>重庆市清泽水质检测有限公司</t>
  </si>
  <si>
    <t>91500106561622862K</t>
  </si>
  <si>
    <t>重庆市万州区双源水利开发有限公司</t>
  </si>
  <si>
    <t>91500101762671396T</t>
  </si>
  <si>
    <t>重庆市西部水资源开发有限公司</t>
  </si>
  <si>
    <t>91500000MA5YQ72N9Y</t>
  </si>
  <si>
    <t>重庆水资源产业股份有限公司</t>
  </si>
  <si>
    <t>91500107MA614PDR29</t>
  </si>
  <si>
    <t>重庆市泽永水务有限公司</t>
  </si>
  <si>
    <t>915001187562468952</t>
  </si>
  <si>
    <t>重庆市铜梁区龙泽水务有限责任公司</t>
  </si>
  <si>
    <t>915002242037031792</t>
  </si>
  <si>
    <t>重庆巫山水利发展有限公司</t>
  </si>
  <si>
    <t>9150023757897061X6</t>
  </si>
  <si>
    <t>重庆市藻渡水资源开发有限公司</t>
  </si>
  <si>
    <t>91500110MAABNL374N</t>
  </si>
  <si>
    <t>重庆水务环境控股集团原水水资源管理有限公司</t>
  </si>
  <si>
    <t>91500113MA7HDB743Q</t>
  </si>
  <si>
    <t>重庆市观景口水利开发有限公司</t>
  </si>
  <si>
    <t>9150011309685195XH</t>
  </si>
  <si>
    <t>重庆市忠县兴业水资源开发有限责任公司</t>
  </si>
  <si>
    <t>91500233736558621Q</t>
  </si>
  <si>
    <t>重庆水务环境控股集团渝东自来水有限公司</t>
  </si>
  <si>
    <t>915001027094380349</t>
  </si>
  <si>
    <t>重庆石柱水利水电实业开发有限公司</t>
  </si>
  <si>
    <t>9150024075926858XT</t>
  </si>
  <si>
    <t>南水北调水网智慧科技（重庆）股份有限公司</t>
  </si>
  <si>
    <t>91500000742864772E</t>
  </si>
  <si>
    <t>重庆市跳蹬水库开发有限公司</t>
  </si>
  <si>
    <t>91500234MA60PBEG4X</t>
  </si>
  <si>
    <t>重庆蜜红水利水电开发有限公司</t>
  </si>
  <si>
    <t>915002400598848085</t>
  </si>
  <si>
    <t>重庆市酉阳县九龙眼水库工程有限责任公司</t>
  </si>
  <si>
    <t>91500242059861833G</t>
  </si>
  <si>
    <t>重庆市合川区石庙子水库工程有限公司</t>
  </si>
  <si>
    <t>9150011732039933XH</t>
  </si>
  <si>
    <t>重庆市彭水县龙凤水资源开发有限责任公司</t>
  </si>
  <si>
    <t>915002430801892874</t>
  </si>
  <si>
    <t>重庆标准件工业有限责任公司</t>
  </si>
  <si>
    <t>91500000202805042B</t>
  </si>
  <si>
    <t>重庆机电控股集团机电工程技术有限公司</t>
  </si>
  <si>
    <t>91500000552003672R</t>
  </si>
  <si>
    <t>重庆机电控股集团信博投资管理有限公司</t>
  </si>
  <si>
    <t>91500000345906908W</t>
  </si>
  <si>
    <t>重庆机电控股集团资产管理有限公司</t>
  </si>
  <si>
    <t>91500000671033153Y</t>
  </si>
  <si>
    <t>重庆江厦置业有限公司</t>
  </si>
  <si>
    <t>91500113203436816C</t>
  </si>
  <si>
    <t>重庆军工产业集团股份有限公司</t>
  </si>
  <si>
    <t>91500000091221801A</t>
  </si>
  <si>
    <t>北京君联天纵科技有限公司</t>
  </si>
  <si>
    <t>91110107102289490L</t>
  </si>
  <si>
    <t>重庆建安仪器有限责任公司</t>
  </si>
  <si>
    <t>91500108202807064T</t>
  </si>
  <si>
    <t>西南计算机有限责任公司</t>
  </si>
  <si>
    <t>915001082028023860</t>
  </si>
  <si>
    <t>重庆军通汽车有限责任公司</t>
  </si>
  <si>
    <t>91500111203035318P</t>
  </si>
  <si>
    <t>重庆长江轴承股份有限公司</t>
  </si>
  <si>
    <t>91500108621903229J</t>
  </si>
  <si>
    <t>英国PTG公司</t>
  </si>
  <si>
    <t>00500000RS4ACYS5DC</t>
  </si>
  <si>
    <t>重庆成飞新材料股份公司</t>
  </si>
  <si>
    <t>91220800691039835P</t>
  </si>
  <si>
    <t>甘肃重通成飞新材料有限公司</t>
  </si>
  <si>
    <t>91620602MA71WD553J</t>
  </si>
  <si>
    <t>吉林成飞新材料有限公司</t>
  </si>
  <si>
    <t>91220882MAD1Y5G02Y</t>
  </si>
  <si>
    <t>新疆成飞新材料有限公司</t>
  </si>
  <si>
    <t>91652301MAC42KM08P</t>
  </si>
  <si>
    <t>重通成飞风电设备江苏有限公司</t>
  </si>
  <si>
    <t>913206233238074909</t>
  </si>
  <si>
    <t>重庆鸽牌电线电缆有限公司</t>
  </si>
  <si>
    <t>91500112709349701G</t>
  </si>
  <si>
    <t>重庆鸽牌电瓷有限公司</t>
  </si>
  <si>
    <t>91500115795879943F</t>
  </si>
  <si>
    <t>重庆工业赋能创新中心有限公司</t>
  </si>
  <si>
    <t>915000005842793230</t>
  </si>
  <si>
    <t>重庆机床（集团）有限责任公司</t>
  </si>
  <si>
    <t>91500000203102357B</t>
  </si>
  <si>
    <t>新疆福保田采棉服务有限公司</t>
  </si>
  <si>
    <t>91654223328874238D</t>
  </si>
  <si>
    <t>重庆工具厂有限责任公司</t>
  </si>
  <si>
    <t>91500113203102218L</t>
  </si>
  <si>
    <t>重庆霍洛伊德精密螺杆制造有限责任公司</t>
  </si>
  <si>
    <t>91500108588012052A</t>
  </si>
  <si>
    <t>重庆机电控股集团财务有限公司</t>
  </si>
  <si>
    <t>9150000005989757XH</t>
  </si>
  <si>
    <t>重庆机电智能制造有限公司</t>
  </si>
  <si>
    <t>91500000339477860U</t>
  </si>
  <si>
    <t>重庆盟讯电子科技有限公司</t>
  </si>
  <si>
    <t>91500108709459660F</t>
  </si>
  <si>
    <t>重庆卡福汽车制动转向系统有限公司</t>
  </si>
  <si>
    <t>915000007500850317</t>
  </si>
  <si>
    <t>重庆气体压缩机厂有限责任公司</t>
  </si>
  <si>
    <t>91500106203055298J</t>
  </si>
  <si>
    <t>重庆水泵厂有限责任公司</t>
  </si>
  <si>
    <t>91500106203051414C</t>
  </si>
  <si>
    <t>重庆水轮机厂有限责任公司</t>
  </si>
  <si>
    <t>915001132031094524</t>
  </si>
  <si>
    <t>重庆通用工业（集团）有限责任公司</t>
  </si>
  <si>
    <t>9150000020286187X1</t>
  </si>
  <si>
    <t>重庆顺昌通用电器有限责任公司</t>
  </si>
  <si>
    <t>91500105203041603D</t>
  </si>
  <si>
    <t>新疆中鑫鸿能源服务有限责任公司</t>
  </si>
  <si>
    <t>91652924MAE0R9XH3C</t>
  </si>
  <si>
    <t>重庆机电控股集团动力科技有限公司</t>
  </si>
  <si>
    <t>91500108MAEFE9HU08</t>
  </si>
  <si>
    <t>重庆科技创新投资集团有限公司</t>
  </si>
  <si>
    <t>91500000MAABQ9CK18</t>
  </si>
  <si>
    <t>重庆科技金融服务中心有限公司</t>
  </si>
  <si>
    <t>91500000MA5U5H2U55</t>
  </si>
  <si>
    <t>重庆科技风险投资有限公司</t>
  </si>
  <si>
    <t>915001072028822328</t>
  </si>
  <si>
    <t>重庆科兴股权投资管理有限公司</t>
  </si>
  <si>
    <t>91500107585704969U</t>
  </si>
  <si>
    <t>重庆中恩网络计算机有限公司</t>
  </si>
  <si>
    <t>91500107733983526K</t>
  </si>
  <si>
    <t>重庆产业引导股权投资基金有限责任公司</t>
  </si>
  <si>
    <t>91500000305000634P</t>
  </si>
  <si>
    <t>重庆发展产业有限公司</t>
  </si>
  <si>
    <t>91500000MA608R0R6C</t>
  </si>
  <si>
    <t>庆铃汽车（集团）有限公司</t>
  </si>
  <si>
    <t>91500000202831734J</t>
  </si>
  <si>
    <t>庆铃汽车股份有限公司</t>
  </si>
  <si>
    <t>91500000621909196D</t>
  </si>
  <si>
    <t>庆铃（深圳）新能源汽车销售服务有限公司</t>
  </si>
  <si>
    <t>91440300MA5F9DPJ9U</t>
  </si>
  <si>
    <t>重庆庆铃模具有限公司</t>
  </si>
  <si>
    <t>91500107621912520R</t>
  </si>
  <si>
    <t>重庆庆铃车桥有限公司</t>
  </si>
  <si>
    <t>91500107621912491E</t>
  </si>
  <si>
    <t>重庆庆铃锻造有限公司</t>
  </si>
  <si>
    <t>91500107621912547H</t>
  </si>
  <si>
    <t>重庆庆铃座椅有限公司</t>
  </si>
  <si>
    <t>915001076219125044</t>
  </si>
  <si>
    <t>重庆庆铃塑料有限公司</t>
  </si>
  <si>
    <t>91500107621912512Y</t>
  </si>
  <si>
    <t>重庆庆铃铸铝有限公司</t>
  </si>
  <si>
    <t>91500107621912483K</t>
  </si>
  <si>
    <t>重庆庆铃专用汽车有限公司</t>
  </si>
  <si>
    <t>91500107676102453D</t>
  </si>
  <si>
    <t>重庆庆铃铸造有限公司</t>
  </si>
  <si>
    <t>91500107621912539N</t>
  </si>
  <si>
    <t>重庆中法水务投资有限公司</t>
  </si>
  <si>
    <t>915000007178662237</t>
  </si>
  <si>
    <t>重庆中法环保研发中心有限公司</t>
  </si>
  <si>
    <t>915001050801795561</t>
  </si>
  <si>
    <t>重庆利特聚欣资源循环科技有限责任公司</t>
  </si>
  <si>
    <t>91500116MA5UUBU16M</t>
  </si>
  <si>
    <t>重庆利龙科技产业（集团）有限公司</t>
  </si>
  <si>
    <t>91500105203000780U</t>
  </si>
  <si>
    <t>重庆耐德工业股份有限公司</t>
  </si>
  <si>
    <t>91500000203043465F</t>
  </si>
  <si>
    <t>重庆安美科技有限公司</t>
  </si>
  <si>
    <t>915001097474776168</t>
  </si>
  <si>
    <t>重庆川仪精密机械有限公司</t>
  </si>
  <si>
    <t>91500109759294104P</t>
  </si>
  <si>
    <t>重庆荣凯川仪仪表有限公司</t>
  </si>
  <si>
    <t>91500109750072513H</t>
  </si>
  <si>
    <t>重庆和纵联交通科技研究院有限公司</t>
  </si>
  <si>
    <t>91500109MA5ULNM6X5</t>
  </si>
  <si>
    <t>重庆川仪物业管理有限公司</t>
  </si>
  <si>
    <t>91500109203232303T</t>
  </si>
  <si>
    <t>四联优侍科技养老产业有限公司</t>
  </si>
  <si>
    <t>915001095634589984</t>
  </si>
  <si>
    <t>重庆优侍养老产业有限公司</t>
  </si>
  <si>
    <t>91500109MA5U608K0K</t>
  </si>
  <si>
    <t>平煤神马（汝州）惠润新能源有限公司</t>
  </si>
  <si>
    <t>91410482MA3X5TDA3G</t>
  </si>
  <si>
    <t>重庆德润新邦环境修复有限公司</t>
  </si>
  <si>
    <t>915000003222840422</t>
  </si>
  <si>
    <t>重庆德润启航环境治理有限公司</t>
  </si>
  <si>
    <t>91500108MA5YXMG252</t>
  </si>
  <si>
    <t>重庆蓝洁环境技术集团有限公司</t>
  </si>
  <si>
    <t>91500107203138691T</t>
  </si>
  <si>
    <t>重庆蔡同水务有限公司</t>
  </si>
  <si>
    <t>915001090912064098</t>
  </si>
  <si>
    <t>重庆江东水务有限公司</t>
  </si>
  <si>
    <t>915000005992209490</t>
  </si>
  <si>
    <t>中州水务控股有限公司</t>
  </si>
  <si>
    <t>91410000MA3X52JM6N</t>
  </si>
  <si>
    <t>重庆沙坪坝三峡水环境综合治理有限责任公司</t>
  </si>
  <si>
    <t>91500106MA61C38K75</t>
  </si>
  <si>
    <t>重庆市二次供水有限责任公司</t>
  </si>
  <si>
    <t>91500103202830547T</t>
  </si>
  <si>
    <t>云南曲靖东过境高速公路有限公司</t>
  </si>
  <si>
    <t>91530300325253452R</t>
  </si>
  <si>
    <t>绍兴市再生能源发展有限公司</t>
  </si>
  <si>
    <t>91330621MA2889NL4H</t>
  </si>
  <si>
    <t>郑州东兴环保能源有限公司</t>
  </si>
  <si>
    <t>91410122MA3X4W6189</t>
  </si>
  <si>
    <t>重庆三峰正兴环保能源有限公司</t>
  </si>
  <si>
    <t>91500120MACX2UX79U</t>
  </si>
  <si>
    <t>泰兴市恒瑞供热管理有限公司</t>
  </si>
  <si>
    <t>91321283MA1M92D06X</t>
  </si>
  <si>
    <t>泰州京城环保产业有限公司</t>
  </si>
  <si>
    <t>913212813021428212</t>
  </si>
  <si>
    <t>城发环保能源（滑县）有限公司</t>
  </si>
  <si>
    <t>91410526MA469G07XP</t>
  </si>
  <si>
    <t>城发环保能源（安阳）有限公司</t>
  </si>
  <si>
    <t>91410506MA471WBB36</t>
  </si>
  <si>
    <t>辽宁抚矿三峰亿金环保能源开发有限责任公司</t>
  </si>
  <si>
    <t>91210404MA108DUQ1X</t>
  </si>
  <si>
    <t>渭南产投三峰环保能源有限公司</t>
  </si>
  <si>
    <t>91610521MA6YB5LQ9C</t>
  </si>
  <si>
    <t>焦作市绿鑫城发有限公司</t>
  </si>
  <si>
    <t>91410821MA9G6D946K</t>
  </si>
  <si>
    <t>重庆天轩环保技术有限公司</t>
  </si>
  <si>
    <t>91500112MA5U31D724</t>
  </si>
  <si>
    <t>重庆辰峰储能科技有限公司</t>
  </si>
  <si>
    <t>91500000MACWGK9X7N</t>
  </si>
  <si>
    <t>泸州兴泸环境集团股份有限公司</t>
  </si>
  <si>
    <t>91510500MA69B1Y3X6</t>
  </si>
  <si>
    <t>重庆环投临江河水污染治理有限责任公司</t>
  </si>
  <si>
    <t>91500118MA5YYDURX0</t>
  </si>
  <si>
    <t>重庆环投惠泽水污染治理有限责任公司</t>
  </si>
  <si>
    <t>91500118MA60G7821N</t>
  </si>
  <si>
    <t>中交建筑集团重庆建设有限公司</t>
  </si>
  <si>
    <t>91500112MA6199WQ9U</t>
  </si>
  <si>
    <t>黄石航天湘渝环保有限公司</t>
  </si>
  <si>
    <t>91420200MA49A0NH26</t>
  </si>
  <si>
    <t>重庆环投生态环境监测网络与工程治理有限公司</t>
  </si>
  <si>
    <t>91500112MA5U7N9E6P</t>
  </si>
  <si>
    <t>重庆天志环保有限公司</t>
  </si>
  <si>
    <t>91500103750058789U</t>
  </si>
  <si>
    <t>重庆环投再生资源开发有限公司</t>
  </si>
  <si>
    <t>91500112MA5U7NA91Q</t>
  </si>
  <si>
    <t>重庆太锦环保科技有限公司</t>
  </si>
  <si>
    <t>915002233460078675</t>
  </si>
  <si>
    <t>重庆数智融合创新科技有限公司</t>
  </si>
  <si>
    <t>91500107MABW70R73K</t>
  </si>
  <si>
    <t>重庆市现代产业链服务中心有限公司</t>
  </si>
  <si>
    <t>91500104MAC5P2TT73</t>
  </si>
  <si>
    <t>重庆巴云科技有限公司</t>
  </si>
  <si>
    <t>915001085880174437</t>
  </si>
  <si>
    <t>重庆两江新区信和产融小额贷款有限公司</t>
  </si>
  <si>
    <t>91500000053235575M</t>
  </si>
  <si>
    <t>重庆市融资再担保有限责任公司</t>
  </si>
  <si>
    <t>91500000774853242J</t>
  </si>
  <si>
    <t>重庆泽晖股权投资基金管理有限公司</t>
  </si>
  <si>
    <t>91500112MA600F1B5U</t>
  </si>
  <si>
    <t>重庆征信有限责任公司</t>
  </si>
  <si>
    <t>91500108MA61C3DH43</t>
  </si>
  <si>
    <t>重庆康钦置业有限公司</t>
  </si>
  <si>
    <t>91500000556756460E</t>
  </si>
  <si>
    <t>中新互联互通投资基金管理有限公司</t>
  </si>
  <si>
    <t>91500000MA5U6P7X93</t>
  </si>
  <si>
    <t>重庆战略性新兴产业股权投资基金合伙企业（有限合伙）</t>
  </si>
  <si>
    <t>915000003395661266</t>
  </si>
  <si>
    <t>重庆钧和企业管理有限公司</t>
  </si>
  <si>
    <t>91500107MAAC3MY68P</t>
  </si>
  <si>
    <t>重庆锦渝鑫企业管理有限公司</t>
  </si>
  <si>
    <t>91500000MA5U3YEP6N</t>
  </si>
  <si>
    <t>安和（重庆）私募股权投资基金管理有限公司</t>
  </si>
  <si>
    <t>91500105MA6055H66Y</t>
  </si>
  <si>
    <t>四川富航资本股权投资基金管理有限公司</t>
  </si>
  <si>
    <t>915101003969187221</t>
  </si>
  <si>
    <t>城口县滨河工程管理有限公司</t>
  </si>
  <si>
    <t>91500229MA5U95F36W</t>
  </si>
  <si>
    <t>重庆商社商业管理有限公司</t>
  </si>
  <si>
    <t>91500103MAAC1MQL9X</t>
  </si>
  <si>
    <t>华润渝康资产管理有限公司</t>
  </si>
  <si>
    <t>91500000MA5U6J4B3Q</t>
  </si>
  <si>
    <t>重庆联合产权交易所集团股份有限公司</t>
  </si>
  <si>
    <t>91500000759268213R</t>
  </si>
  <si>
    <t>中新互联互通投资基金（有限合伙）</t>
  </si>
  <si>
    <t>91500105MA5U87751T</t>
  </si>
  <si>
    <t>润业（重庆）新材料有限公司</t>
  </si>
  <si>
    <t>91500104MAAC93W82W</t>
  </si>
  <si>
    <t>重庆现代产业发展研究院有限公司</t>
  </si>
  <si>
    <t>91500000MA6110U809</t>
  </si>
  <si>
    <t>重庆渝富益华钧芯壹号私募股权投资基金合伙企业（有限合伙）</t>
  </si>
  <si>
    <t>91500107MAAC4YY4XF</t>
  </si>
  <si>
    <t>重庆中新医药大健康私募股权投资基金合伙企业（有限合伙）</t>
  </si>
  <si>
    <t>91500107MAAC9G9C4L</t>
  </si>
  <si>
    <t>重庆渝富天使创业投资基金合伙企业（有限合伙）</t>
  </si>
  <si>
    <t>91500118MACTH4YQ8A</t>
  </si>
  <si>
    <t>重庆千信外经贸集团有限公司</t>
  </si>
  <si>
    <t>91500115MA5U8UJC86</t>
  </si>
  <si>
    <t>重庆高速公路集团有限公司</t>
  </si>
  <si>
    <t>91500000202831558M</t>
  </si>
  <si>
    <t>国新控股（重庆）有限公司</t>
  </si>
  <si>
    <t>91500000MAK1XUD415</t>
  </si>
  <si>
    <t>重庆市城市建设投资（集团）有限公司</t>
  </si>
  <si>
    <t>91500000202814256L</t>
  </si>
  <si>
    <t>重庆城投城市更新建设发展有限公司</t>
  </si>
  <si>
    <t>91500000MA611CWC9M</t>
  </si>
  <si>
    <t>重庆城投基础设施建设有限公司</t>
  </si>
  <si>
    <t>91500000MA611ABL3C</t>
  </si>
  <si>
    <t>重庆恒诚融智投资管理有限公司</t>
  </si>
  <si>
    <t>91500000733979746A</t>
  </si>
  <si>
    <t>重庆市城投路桥管理有限公司</t>
  </si>
  <si>
    <t>915001037398235587</t>
  </si>
  <si>
    <t>重庆市城投公租房建设有限公司</t>
  </si>
  <si>
    <t>91500000554093288Q</t>
  </si>
  <si>
    <t>重庆市城市建设土地发展有限责任公司</t>
  </si>
  <si>
    <t>91500000MA5U7N5W84</t>
  </si>
  <si>
    <t>重庆渝开发股份有限公司</t>
  </si>
  <si>
    <t>91500000202809457F</t>
  </si>
  <si>
    <t>重庆渝开发物业管理有限公司</t>
  </si>
  <si>
    <t>9150010320329108X3</t>
  </si>
  <si>
    <t>重庆朗福置业有限公司</t>
  </si>
  <si>
    <t>91500000696570393P</t>
  </si>
  <si>
    <t>重庆捷兴置业有限公司</t>
  </si>
  <si>
    <t>91500112588046009P</t>
  </si>
  <si>
    <t>重庆城投朝天门项目管理有限公司</t>
  </si>
  <si>
    <t>91500103MA61DH4522</t>
  </si>
  <si>
    <t>重庆渝富资本运营集团有限公司</t>
  </si>
  <si>
    <t>91500000759256562N</t>
  </si>
  <si>
    <t>重庆渝富控股集团有限公司</t>
  </si>
  <si>
    <t>91500000MA5U7AQ39J</t>
  </si>
  <si>
    <t>重庆渝富（香港）有限公司</t>
  </si>
  <si>
    <t>1663341</t>
  </si>
  <si>
    <t>重庆渝欣创商业管理有限公司</t>
  </si>
  <si>
    <t>91500000MAABXBTQ25</t>
  </si>
  <si>
    <t>重庆股份转让中心有限责任公司</t>
  </si>
  <si>
    <t>91500000059875100U</t>
  </si>
  <si>
    <t>重庆渝富资本私募股权投资基金管理有限公司</t>
  </si>
  <si>
    <t>915000003048465664</t>
  </si>
  <si>
    <t>91500000202869177Y</t>
  </si>
  <si>
    <t>91500000676129728J</t>
  </si>
  <si>
    <t>重庆机电股份有限公司</t>
  </si>
  <si>
    <t>915000006635841156</t>
  </si>
  <si>
    <t>重庆机电控股（集团）公司</t>
  </si>
  <si>
    <t>91500000450417268U</t>
  </si>
  <si>
    <t>三峡人寿保险股份有限公司</t>
  </si>
  <si>
    <t>91500101MA5YPM4B90</t>
  </si>
  <si>
    <t>重庆百货大楼股份有限公司</t>
  </si>
  <si>
    <t>91500000202824753F</t>
  </si>
  <si>
    <t>西部绿色能源科技（重庆）有限公司</t>
  </si>
  <si>
    <t>91500103MAABR3BN9B</t>
  </si>
  <si>
    <t>重庆华龙网集团股份有限公司</t>
  </si>
  <si>
    <t>91500000765916977A</t>
  </si>
  <si>
    <t>隆鑫通用动力股份有限公司</t>
  </si>
  <si>
    <t>915001076608997871</t>
  </si>
  <si>
    <t>重庆渝富高质产业母基金私募股权投资基金管理有限公司</t>
  </si>
  <si>
    <t>91500112MAD6AQB95U</t>
  </si>
  <si>
    <t>渝深创富私募股权投资基金管理有限公司</t>
  </si>
  <si>
    <t>91500151MA7LHAW029</t>
  </si>
  <si>
    <t>重庆渝资光电产业投资有限公司</t>
  </si>
  <si>
    <t>91500000068265910Y</t>
  </si>
  <si>
    <t>重庆银海融资租赁有限公司</t>
  </si>
  <si>
    <t>91500000784213097F</t>
  </si>
  <si>
    <t>重庆西部航空控股有限公司</t>
  </si>
  <si>
    <t>915001125789591380</t>
  </si>
  <si>
    <t>银海一号（天津）租赁有限公司</t>
  </si>
  <si>
    <t>91120118MAD00M3F2W</t>
  </si>
  <si>
    <t>重庆进出口融资担保有限公司</t>
  </si>
  <si>
    <t>91500000683925570T</t>
  </si>
  <si>
    <t>重庆兴农融资担保集团有限公司</t>
  </si>
  <si>
    <t>915000005828358674</t>
  </si>
  <si>
    <t>重庆兴乡企业管理咨询有限公司</t>
  </si>
  <si>
    <t>9150010575925855X5</t>
  </si>
  <si>
    <t>重庆兴农资产经营管理有限公司</t>
  </si>
  <si>
    <t>91500000075695521D</t>
  </si>
  <si>
    <t>91500000787481580L</t>
  </si>
  <si>
    <t>深圳渝信资产管理有限公司</t>
  </si>
  <si>
    <t>91440300360277222E</t>
  </si>
  <si>
    <t>重庆两江新区长江三峡小额贷款有限公司</t>
  </si>
  <si>
    <t>91500000062894636W</t>
  </si>
  <si>
    <t>重庆市教育融资担保有限公司</t>
  </si>
  <si>
    <t>91500117683903259F</t>
  </si>
  <si>
    <t>重庆渝台融资担保有限公司</t>
  </si>
  <si>
    <t>91500000688915099K</t>
  </si>
  <si>
    <t>中国四联仪器仪表集团有限公司</t>
  </si>
  <si>
    <t>9150000020280092XU</t>
  </si>
  <si>
    <t>井陉亿阳光伏科技有限公司</t>
  </si>
  <si>
    <t>91130121MA07K1UX6J</t>
  </si>
  <si>
    <t>重庆川仪微电路有限责任公司</t>
  </si>
  <si>
    <t>91500109903245113D</t>
  </si>
  <si>
    <t>绵阳四联电子科技有限公司</t>
  </si>
  <si>
    <t>915107003093310350</t>
  </si>
  <si>
    <t>重庆四联光电科技有限公司</t>
  </si>
  <si>
    <t>915001096761430879</t>
  </si>
  <si>
    <t>兰州四联光电科技有限公司</t>
  </si>
  <si>
    <t>916201000531143351</t>
  </si>
  <si>
    <t>重庆四联特种装备材料有限公司</t>
  </si>
  <si>
    <t>915001095880083870</t>
  </si>
  <si>
    <t>重庆四联新能源有限公司</t>
  </si>
  <si>
    <t>915000003277978830</t>
  </si>
  <si>
    <t>重庆渝立商业管理有限公司</t>
  </si>
  <si>
    <t>91500108202804947F</t>
  </si>
  <si>
    <t>重庆渝舜富商业管理有限公司</t>
  </si>
  <si>
    <t>91500112MAK0T8CG07</t>
  </si>
  <si>
    <t>重庆渝壹安商业管理有限公司</t>
  </si>
  <si>
    <t>91500103MAK172TM25</t>
  </si>
  <si>
    <t>重庆市渝辉生活服务有限公司</t>
  </si>
  <si>
    <t>91500000765911092M</t>
  </si>
  <si>
    <t>重庆创翰都城市建设发展有限公司</t>
  </si>
  <si>
    <t>9150023030509890XB</t>
  </si>
  <si>
    <t>重庆水务环境控股集团有限公司</t>
  </si>
  <si>
    <t>91500000663597063W</t>
  </si>
  <si>
    <t>重庆市环卫集团有限公司</t>
  </si>
  <si>
    <t>91500000745333483Q</t>
  </si>
  <si>
    <t>重庆市固体废弃物处理有限公司</t>
  </si>
  <si>
    <t>915000002028442017</t>
  </si>
  <si>
    <t>重庆渝环生物能源有限公司</t>
  </si>
  <si>
    <t>91500112MA60DHET1U</t>
  </si>
  <si>
    <t>重庆益渝节能环保科技有限公司</t>
  </si>
  <si>
    <t>91500107MA60WKRRXB</t>
  </si>
  <si>
    <t>重庆市固体废弃物运输有限公司</t>
  </si>
  <si>
    <t>9150010578420692XT</t>
  </si>
  <si>
    <t>重庆市益康环保工程有限公司</t>
  </si>
  <si>
    <t>91500000768869336D</t>
  </si>
  <si>
    <t>重庆市江北区固体废弃物运输有限公司</t>
  </si>
  <si>
    <t>91500105778492771J</t>
  </si>
  <si>
    <t>重庆市巴南区固体废弃物运输有限公司</t>
  </si>
  <si>
    <t>91500113790729882M</t>
  </si>
  <si>
    <t>重庆市大渡口区固体废弃物运输有限公司</t>
  </si>
  <si>
    <t>91500104781568810X</t>
  </si>
  <si>
    <t>重庆三峰城市环境服务有限公司</t>
  </si>
  <si>
    <t>91500104MA600N465P</t>
  </si>
  <si>
    <t>重庆市渝北区固体废弃物运输有限公司</t>
  </si>
  <si>
    <t>91500112793524401E</t>
  </si>
  <si>
    <t>重庆环保投资集团有限公司</t>
  </si>
  <si>
    <t>91500000339470140F</t>
  </si>
  <si>
    <t>重庆新天地环境检测技术有限公司</t>
  </si>
  <si>
    <t>9150011232038121X0</t>
  </si>
  <si>
    <t>重庆环投昌盛环境治理有限公司</t>
  </si>
  <si>
    <t>91500153MACDQ8Q18P</t>
  </si>
  <si>
    <t>重庆碧水源建设项目管理有限责任公司</t>
  </si>
  <si>
    <t>9150011256993086XF</t>
  </si>
  <si>
    <t>重庆创绿环境保护有限公司</t>
  </si>
  <si>
    <t>915001157474853922</t>
  </si>
  <si>
    <t>重庆市禾润中天环保科技有限公司</t>
  </si>
  <si>
    <t>91500115MA608UG80E</t>
  </si>
  <si>
    <t>重庆德润环境有限公司</t>
  </si>
  <si>
    <t>915001043203681707</t>
  </si>
  <si>
    <t>重庆德润壹品环境治理有限公司</t>
  </si>
  <si>
    <t>91500113MA7MMEN04T</t>
  </si>
  <si>
    <t>成都德润锦隆环境治理有限公司</t>
  </si>
  <si>
    <t>91510107MA69KP118U</t>
  </si>
  <si>
    <t>重庆水务集团股份有限公司</t>
  </si>
  <si>
    <t>915000007093295592</t>
  </si>
  <si>
    <t>重庆市排水有限公司</t>
  </si>
  <si>
    <t>915001032028383541</t>
  </si>
  <si>
    <t>重庆市渝东水务有限公司</t>
  </si>
  <si>
    <t>91500101756204177C</t>
  </si>
  <si>
    <t>重庆市自来水有限公司</t>
  </si>
  <si>
    <t>91500000202801914L</t>
  </si>
  <si>
    <t>重庆公用事业建设有限公司</t>
  </si>
  <si>
    <t>91500105202809270X</t>
  </si>
  <si>
    <t>重庆渝水环保科技有限公司</t>
  </si>
  <si>
    <t>91500105MA5UC88G25</t>
  </si>
  <si>
    <t>重庆珞渝环保科技有限公司</t>
  </si>
  <si>
    <t>91500116MA601QHTX3</t>
  </si>
  <si>
    <t>重庆市三峡水务有限责任公司</t>
  </si>
  <si>
    <t>915000007530719896</t>
  </si>
  <si>
    <t>昆明渝润水务有限公司</t>
  </si>
  <si>
    <t>91530102MAC1EL6B11</t>
  </si>
  <si>
    <t>重庆水务集团公用工程咨询有限公司</t>
  </si>
  <si>
    <t>915001122028788237</t>
  </si>
  <si>
    <t>重庆远通电子技术开发有限公司</t>
  </si>
  <si>
    <t>915001072028390075</t>
  </si>
  <si>
    <t>重庆市豪洋水务建设管理有限公司</t>
  </si>
  <si>
    <t>91500105756212476D</t>
  </si>
  <si>
    <t>重庆市渝西水务有限公司</t>
  </si>
  <si>
    <t>915001187562232204</t>
  </si>
  <si>
    <t>重庆分质供水有限公司</t>
  </si>
  <si>
    <t>91500000MAABW40M0X</t>
  </si>
  <si>
    <t>重庆渝江水务有限公司</t>
  </si>
  <si>
    <t>91500113622074741U</t>
  </si>
  <si>
    <t>重庆水务集团沙沺环境治理有限公司</t>
  </si>
  <si>
    <t>91500106MAABQ5UW3U</t>
  </si>
  <si>
    <t>川渝高竹水务发展有限公司</t>
  </si>
  <si>
    <t>91500112MAAC0UCL65</t>
  </si>
  <si>
    <t>安宁市渝宁水务有限责任公司</t>
  </si>
  <si>
    <t>91530181MA7DNNLJ9A</t>
  </si>
  <si>
    <t>安陆市涢洁环保科技有限公司</t>
  </si>
  <si>
    <t>91420982MA494ML24P</t>
  </si>
  <si>
    <t>成都汇凯水处理有限公司</t>
  </si>
  <si>
    <t>91510113052509765B</t>
  </si>
  <si>
    <t>昆明市五华区渝星水务有限责任公司</t>
  </si>
  <si>
    <t>91530102MA6PYRG012</t>
  </si>
  <si>
    <t>重庆市大足区清溪水务有限公司</t>
  </si>
  <si>
    <t>91500225345965801A</t>
  </si>
  <si>
    <t>重庆三峰环境集团股份有限公司</t>
  </si>
  <si>
    <t>91500000699250053X</t>
  </si>
  <si>
    <t>重庆三峰百果园环保发电有限公司</t>
  </si>
  <si>
    <t>915001163203631182</t>
  </si>
  <si>
    <t>成都三峰环保发电有限公司</t>
  </si>
  <si>
    <t>91510100674315818L</t>
  </si>
  <si>
    <t>重庆丰盛三峰环保发电有限公司</t>
  </si>
  <si>
    <t>91500000693914162C</t>
  </si>
  <si>
    <t>会东三峰环保能源发电有限公司</t>
  </si>
  <si>
    <t>91513426MA64U5TP8L</t>
  </si>
  <si>
    <t>白银三峰环保发电有限公司</t>
  </si>
  <si>
    <t>91620400067202061D</t>
  </si>
  <si>
    <t>重庆市綦江区三峰环保发电有限公司</t>
  </si>
  <si>
    <t>91500222MA5U4TYJ6D</t>
  </si>
  <si>
    <t>重庆市涪陵区三峰环保发电有限公司</t>
  </si>
  <si>
    <t>91500102091209941G</t>
  </si>
  <si>
    <t>西昌三峰环保发电有限公司</t>
  </si>
  <si>
    <t>91513401MA62H9TP6H</t>
  </si>
  <si>
    <t>重庆市秀山县三峰新能源有限公司</t>
  </si>
  <si>
    <t>91500241MA608N338X</t>
  </si>
  <si>
    <t>重庆三峰卡万塔环境产业有限公司</t>
  </si>
  <si>
    <t>91500104202981978N</t>
  </si>
  <si>
    <t>重庆同兴垃圾处理有限公司</t>
  </si>
  <si>
    <t>91500000733959980P</t>
  </si>
  <si>
    <t>重庆三峰御临环保发电有限公司</t>
  </si>
  <si>
    <t>91500112MA5U5XRC01</t>
  </si>
  <si>
    <t>重庆市万州区三峰环保发电有限公司</t>
  </si>
  <si>
    <t>915001015590249783</t>
  </si>
  <si>
    <t>浦江三峰环保能源有限公司</t>
  </si>
  <si>
    <t>91330726MA2DE7FU9T</t>
  </si>
  <si>
    <t>营山三峰环保能源有限公司</t>
  </si>
  <si>
    <t>91511322MA68R3C07Y</t>
  </si>
  <si>
    <t>大理三峰再生能源发电有限公司</t>
  </si>
  <si>
    <t>91532900566218949W</t>
  </si>
  <si>
    <t>东营黄河三角洲三峰生态能源有限公司</t>
  </si>
  <si>
    <t>91370500570469425P</t>
  </si>
  <si>
    <t>南宁市三峰能源有限公司</t>
  </si>
  <si>
    <t>91450100077141338P</t>
  </si>
  <si>
    <t>葫芦岛三峰新能源有限公司</t>
  </si>
  <si>
    <t>91211421MA117C0K4C</t>
  </si>
  <si>
    <t>昆明三峰再生能源发电有限公司</t>
  </si>
  <si>
    <t>91534001555125392A</t>
  </si>
  <si>
    <t>六安三峰环保发电有限公司</t>
  </si>
  <si>
    <t>9134150058720524XM</t>
  </si>
  <si>
    <t>鞍山市三峰环保发电有限公司</t>
  </si>
  <si>
    <t>912103003996795872</t>
  </si>
  <si>
    <t>重庆黔江三峰环保产业发展有限公司</t>
  </si>
  <si>
    <t>91500114MA5U6MB65M</t>
  </si>
  <si>
    <t>汕尾三峰环保发电有限公司</t>
  </si>
  <si>
    <t>91441521581400554A</t>
  </si>
  <si>
    <t>重庆市永川区三峰环保发电有限公司</t>
  </si>
  <si>
    <t>91500118MA5UAG335R</t>
  </si>
  <si>
    <t>泰兴市三峰环保能源有限公司</t>
  </si>
  <si>
    <t>913212836087857150</t>
  </si>
  <si>
    <t>诸暨三峰环保能源有限公司</t>
  </si>
  <si>
    <t>91330681MA2D6FB49P</t>
  </si>
  <si>
    <t>重庆垫江三峰新能源发电有限公司</t>
  </si>
  <si>
    <t>91500231MA61ARTNXD</t>
  </si>
  <si>
    <t>重庆荣昌三峰新能源发电有限公司</t>
  </si>
  <si>
    <t>91500153MA61QHNU97</t>
  </si>
  <si>
    <t>重庆合川三峰新能源发电有限公司</t>
  </si>
  <si>
    <t>91500117MA60X6PW52</t>
  </si>
  <si>
    <t>吕梁三峰环保发电有限公司</t>
  </si>
  <si>
    <t>91141100MA0L4LBA71</t>
  </si>
  <si>
    <t>重庆市武隆区三峰新能源发电有限公司</t>
  </si>
  <si>
    <t>91500232MA60L9189Q</t>
  </si>
  <si>
    <t>阿克苏三峰广翰环保发电有限公司</t>
  </si>
  <si>
    <t>91652901MA777XK52M</t>
  </si>
  <si>
    <t>重庆三峰夔门新能源有限公司</t>
  </si>
  <si>
    <t>91500236MAABXJ5J40</t>
  </si>
  <si>
    <t>梅州市三峰环保能源有限公司</t>
  </si>
  <si>
    <t>91441400303862556A</t>
  </si>
  <si>
    <t>赤峰市三峰环保能源有限公司</t>
  </si>
  <si>
    <t>91150402MA0N34WL04</t>
  </si>
  <si>
    <t>库尔勒三峰广翰能源开发有限公司</t>
  </si>
  <si>
    <t>91652801MA7759D783</t>
  </si>
  <si>
    <t>重庆水务环境控股集团管网有限公司</t>
  </si>
  <si>
    <t>91500105MAEF7T4A06</t>
  </si>
  <si>
    <t>重庆轻纺控股（集团）公司</t>
  </si>
  <si>
    <t>915000004504171295</t>
  </si>
  <si>
    <t>重庆龙璟纸业有限公司</t>
  </si>
  <si>
    <t>91500230795864418F</t>
  </si>
  <si>
    <t>重庆兴渝投资有限责任公司</t>
  </si>
  <si>
    <t>9150000056991638XF</t>
  </si>
  <si>
    <t>興渝國際控股（香港）有限公司</t>
  </si>
  <si>
    <t>1594854</t>
  </si>
  <si>
    <t>重庆工合实业有限公司</t>
  </si>
  <si>
    <t>915001037500575596</t>
  </si>
  <si>
    <t>重庆卓越实业发展有限公司</t>
  </si>
  <si>
    <t>91500000753080009B</t>
  </si>
  <si>
    <t>重庆轻纺资产管理有限公司</t>
  </si>
  <si>
    <t>91500000073664166F</t>
  </si>
  <si>
    <t>重庆轻纺建材销售有限公司</t>
  </si>
  <si>
    <t>91500105202804912H</t>
  </si>
  <si>
    <t>重庆鑫美乐置业代理有限公司</t>
  </si>
  <si>
    <t>91500000202853335W</t>
  </si>
  <si>
    <t>重庆汇信商贸有限公司</t>
  </si>
  <si>
    <t>91500151MADXECCKX9</t>
  </si>
  <si>
    <t>上海三毛国际网购生活广场贸易有限公司</t>
  </si>
  <si>
    <t>913101136312886299</t>
  </si>
  <si>
    <t>重庆北源玻璃股份有限公司</t>
  </si>
  <si>
    <t>915001092032005989</t>
  </si>
  <si>
    <t>重庆金迪汽车零部件有限公司</t>
  </si>
  <si>
    <t>915001062028349780</t>
  </si>
  <si>
    <t>重庆登康口腔护理用品股份有限公司</t>
  </si>
  <si>
    <t>91500000203000772K</t>
  </si>
  <si>
    <t>重庆登康口腔健康科技有限公司</t>
  </si>
  <si>
    <t>91500107MA61AG1H2Q</t>
  </si>
  <si>
    <t>重庆齐信汽车零部件有限公司</t>
  </si>
  <si>
    <t>915001082029143617</t>
  </si>
  <si>
    <t>上海三毛企业（集团）股份有限公司</t>
  </si>
  <si>
    <t>913100006072514987</t>
  </si>
  <si>
    <t>上海三进进出口有限公司</t>
  </si>
  <si>
    <t>91310101062597041L</t>
  </si>
  <si>
    <t>上海三毛保安服务有限公司</t>
  </si>
  <si>
    <t>91310101590384015X</t>
  </si>
  <si>
    <t>上海三毛资产管理有限公司</t>
  </si>
  <si>
    <t>91310101787862404F</t>
  </si>
  <si>
    <t>上海嘉懿创业投资有限公司</t>
  </si>
  <si>
    <t>91310106684025275T</t>
  </si>
  <si>
    <t>上海博华基因芯片技术有限公司</t>
  </si>
  <si>
    <t>91310110632082104M</t>
  </si>
  <si>
    <t>CQLT萨固密技术公司</t>
  </si>
  <si>
    <t>B108936</t>
  </si>
  <si>
    <t>萨固密田纳西公司</t>
  </si>
  <si>
    <t>000564926</t>
  </si>
  <si>
    <t>萨固密伊比利亚公司</t>
  </si>
  <si>
    <t>A26109645</t>
  </si>
  <si>
    <t>萨固密巴西公司</t>
  </si>
  <si>
    <t>35216019132</t>
  </si>
  <si>
    <t>萨固密墨西哥公司</t>
  </si>
  <si>
    <t>N-2016006933</t>
  </si>
  <si>
    <t>萨固密斯洛伐克公司</t>
  </si>
  <si>
    <t>14152/R</t>
  </si>
  <si>
    <t>萨固密捷克公司</t>
  </si>
  <si>
    <t>25931857</t>
  </si>
  <si>
    <t>萨固密俄罗斯公司</t>
  </si>
  <si>
    <t>1075263006026</t>
  </si>
  <si>
    <t>萨固密（中国）投资有限公司</t>
  </si>
  <si>
    <t>91500000586885511T</t>
  </si>
  <si>
    <t>萨固密渝锦（重庆）橡塑制品有限公司</t>
  </si>
  <si>
    <t>91500000778460032N</t>
  </si>
  <si>
    <t>萨固密（营口）密封系统有限公司</t>
  </si>
  <si>
    <t>912108000945502726</t>
  </si>
  <si>
    <t>萨固密NEO公司</t>
  </si>
  <si>
    <t>HRB102767</t>
  </si>
  <si>
    <t>萨固密国际系统有限公司</t>
  </si>
  <si>
    <t>HRB102423</t>
  </si>
  <si>
    <t>萨固密法国公司</t>
  </si>
  <si>
    <t>819488511</t>
  </si>
  <si>
    <t>萨固密德国控股公司</t>
  </si>
  <si>
    <t>HRB16898</t>
  </si>
  <si>
    <t>CQLT萨固密德国公司</t>
  </si>
  <si>
    <t>HRB16897</t>
  </si>
  <si>
    <t>萨固密管理公司</t>
  </si>
  <si>
    <t>HRB14518</t>
  </si>
  <si>
    <t>萨固密汽车密封件公司</t>
  </si>
  <si>
    <t>HRB107378</t>
  </si>
  <si>
    <t>萨固密土耳其公司</t>
  </si>
  <si>
    <t>382206-5</t>
  </si>
  <si>
    <t>萨固密印度公司</t>
  </si>
  <si>
    <t>110354</t>
  </si>
  <si>
    <t>重庆市水利投资（集团）有限公司</t>
  </si>
  <si>
    <t>915000007562050060</t>
  </si>
  <si>
    <t>重庆水务环境控股集团渝东北自来水有限公司</t>
  </si>
  <si>
    <t>91500235762668306R</t>
  </si>
  <si>
    <t>重庆国调企业管理有限公司</t>
  </si>
  <si>
    <t>91500103MAAC20LF3F</t>
  </si>
  <si>
    <t>重庆城投江长建设有限公司</t>
  </si>
  <si>
    <t>91500105MA7FPW5177</t>
  </si>
  <si>
    <t>重庆城投曙光湖建设有限公司</t>
  </si>
  <si>
    <t>91500120MAC4RCLU1R</t>
  </si>
  <si>
    <t>重庆嘉阅展恒置业有限公司</t>
  </si>
  <si>
    <t>91500103MABY2YXR27</t>
  </si>
  <si>
    <t>重庆城投集团巫山城市更新建设发展有限公司</t>
  </si>
  <si>
    <t>91500237MACEQ2B172</t>
  </si>
  <si>
    <t>重庆渝悦家城市运营管理有限公司</t>
  </si>
  <si>
    <t>91500103MAD2421U1G</t>
  </si>
  <si>
    <t>重庆渝加颐置地有限公司</t>
  </si>
  <si>
    <t>91500105MAD48EB81D</t>
  </si>
  <si>
    <t>云南颐天展宏置业发展有限公司</t>
  </si>
  <si>
    <t>91532504MA6Q0L586U</t>
  </si>
  <si>
    <t>重庆黄葛晚渡置业发展有限公司</t>
  </si>
  <si>
    <t>91500108MAD8XB3QXR</t>
  </si>
  <si>
    <t>重庆市南川区景禾城市运营服务有限公司</t>
  </si>
  <si>
    <t>91500119MA61DY1D5N</t>
  </si>
  <si>
    <t>重庆伟航建设工程有限公司</t>
  </si>
  <si>
    <t>915001039028898499</t>
  </si>
  <si>
    <t>重庆西证渝富私募股权投资基金管理有限公司</t>
  </si>
  <si>
    <t>91500000595193816E</t>
  </si>
  <si>
    <t>重庆渝调私募股权投资基金合伙企业（有限合伙）</t>
  </si>
  <si>
    <t>91500000MABQ0MQ06W</t>
  </si>
  <si>
    <t>安诚财产保险股份有限公司</t>
  </si>
  <si>
    <t>91500000790749680K</t>
  </si>
  <si>
    <t>重庆中油诚源发展有限公司</t>
  </si>
  <si>
    <t>91500000586854387T</t>
  </si>
  <si>
    <t>重庆渝泊停车场建设管理有限公司</t>
  </si>
  <si>
    <t>91500103MA5UAD7P2E</t>
  </si>
  <si>
    <t>重庆会展中心置业有限公司</t>
  </si>
  <si>
    <t>91500108778499455R</t>
  </si>
  <si>
    <t>中交航空港有限公司</t>
  </si>
  <si>
    <t>91500118MA5YX4TH1J</t>
  </si>
  <si>
    <t>重庆城投瑞安养老服务有限公司</t>
  </si>
  <si>
    <t>91500103MA5U6K9081</t>
  </si>
  <si>
    <t>重庆龙湖颐天展图置业有限公司</t>
  </si>
  <si>
    <t>91500103MA60FX0268</t>
  </si>
  <si>
    <t>重庆骏励房地产开发有限公司</t>
  </si>
  <si>
    <t>91500109MA61CJ1G3M</t>
  </si>
  <si>
    <t>重庆龙湖颐天展晟置业有限公司</t>
  </si>
  <si>
    <t>91500107MA61BHCA32</t>
  </si>
  <si>
    <t>重庆龙湖颐天鼎圣房地产开发有限公司</t>
  </si>
  <si>
    <t>91500109MAABR8P549</t>
  </si>
  <si>
    <t>重庆药品交易所股份有限公司</t>
  </si>
  <si>
    <t>91500000554052478W</t>
  </si>
  <si>
    <t>重药控股股份有限公司</t>
  </si>
  <si>
    <t>91500000203296235J</t>
  </si>
  <si>
    <t>重庆颐天展驰置业有限公司</t>
  </si>
  <si>
    <t>91500113MA60K0GM9W</t>
  </si>
  <si>
    <t>重庆三峡银行股份有限公司</t>
  </si>
  <si>
    <t>915001017116939742</t>
  </si>
  <si>
    <t>重庆渝悦物业服务有限公司</t>
  </si>
  <si>
    <t>91500108MACXMRYF1A</t>
  </si>
  <si>
    <t>重庆燃气集团股份有限公司</t>
  </si>
  <si>
    <t>91500000202833000R</t>
  </si>
  <si>
    <t>重庆物流集团有限公司</t>
  </si>
  <si>
    <t>91500000768893301N</t>
  </si>
  <si>
    <t>重庆两江新区开发投资集团有限公司</t>
  </si>
  <si>
    <t>91500000556779646F</t>
  </si>
  <si>
    <t>重庆市江北嘴中央商务区投资集团有限公司</t>
  </si>
  <si>
    <t>91500000781574508G</t>
  </si>
  <si>
    <t>重庆两江新城城市运营管理有限公司</t>
  </si>
  <si>
    <t>91500000559017209H</t>
  </si>
  <si>
    <t>重庆两江新盛投资管理有限公司</t>
  </si>
  <si>
    <t>91500000574841829B</t>
  </si>
  <si>
    <t>重庆两江新区置业发展有限公司</t>
  </si>
  <si>
    <t>91500000563466533R</t>
  </si>
  <si>
    <t>重庆两江协同创新区建设投资发展有限公司</t>
  </si>
  <si>
    <t>91500000MA60F3L79U</t>
  </si>
  <si>
    <t>重庆赛为城市运营服务有限公司</t>
  </si>
  <si>
    <t>91500000202897821P</t>
  </si>
  <si>
    <t>重庆市江北嘴置业有限公司</t>
  </si>
  <si>
    <t>91500000688942986X</t>
  </si>
  <si>
    <t>重庆渝海控股（集团）有限责任公司</t>
  </si>
  <si>
    <t>915000002028046804</t>
  </si>
  <si>
    <t>重庆两江新区建设有限公司</t>
  </si>
  <si>
    <t>91500000MA5YPD8D62</t>
  </si>
  <si>
    <t>重庆寸滩港城发展有限公司</t>
  </si>
  <si>
    <t>91500000MAAC2GAL68</t>
  </si>
  <si>
    <t>重庆华兴工程咨询有限公司</t>
  </si>
  <si>
    <t>9150010320281853X8</t>
  </si>
  <si>
    <t>重庆两江智慧城市投资发展有限公司</t>
  </si>
  <si>
    <t>91500000075653911M</t>
  </si>
  <si>
    <t>重庆渝海物业管理有限责任公司</t>
  </si>
  <si>
    <t>91500103739804883K</t>
  </si>
  <si>
    <t>舞钢市两江智慧市政建设有限公司</t>
  </si>
  <si>
    <t>91410481MA40FYP24B</t>
  </si>
  <si>
    <t>中新（重庆）多式联运物流发展有限公司</t>
  </si>
  <si>
    <t>91500000MA5YR9D28U</t>
  </si>
  <si>
    <t>重庆两江新区水土新城建设投资有限公司</t>
  </si>
  <si>
    <t>915000005590181484</t>
  </si>
  <si>
    <t>重庆万江科技服务有限公司</t>
  </si>
  <si>
    <t>91500000MAD7KE5062</t>
  </si>
  <si>
    <t>重庆两江新区龙兴新城建设投资有限公司</t>
  </si>
  <si>
    <t>91500000556798185C</t>
  </si>
  <si>
    <t>重庆两江新区鱼复新城建设投资有限公司</t>
  </si>
  <si>
    <t>9150000055900490XR</t>
  </si>
  <si>
    <t>重庆两江新区龙湖新御置业发展有限公司</t>
  </si>
  <si>
    <t>91500000MA5UK7CD4G</t>
  </si>
  <si>
    <t>重庆两江新区新亚航实业有限公司</t>
  </si>
  <si>
    <t>91500000MA5UTFLN47</t>
  </si>
  <si>
    <t>建投投资有限责任公司</t>
  </si>
  <si>
    <t>91110000055567282F</t>
  </si>
  <si>
    <t>建投华文投资有限责任公司</t>
  </si>
  <si>
    <t>91110000080456090L</t>
  </si>
  <si>
    <t>914403007109283569</t>
  </si>
  <si>
    <t>重庆市城投金卡信息产业（集团）股份有限公司</t>
  </si>
  <si>
    <t>915001087815742844</t>
  </si>
  <si>
    <t>26泰安01</t>
  </si>
  <si>
    <t>26赣州01</t>
  </si>
  <si>
    <t>25柳城06</t>
  </si>
  <si>
    <t>陈珍妮,郑一凡</t>
  </si>
  <si>
    <t>4.59Y</t>
  </si>
  <si>
    <t>公用事业-公用事业Ⅱ-电力-电力公用事业</t>
  </si>
  <si>
    <t>工业-环保Ⅱ-环保Ⅲ-环保装备</t>
  </si>
  <si>
    <t>工业-建筑-建筑与工程Ⅲ-建筑与工程Ⅳ	</t>
  </si>
  <si>
    <t>4.84Y</t>
  </si>
  <si>
    <t>2.88Y</t>
  </si>
  <si>
    <t>可选消费-可选消费零售-多品类零售Ⅲ-多品类零售Ⅳ</t>
  </si>
  <si>
    <t>城投-可选消费-可选消费零售-多品类零售Ⅲ-多品类零售Ⅳ</t>
  </si>
  <si>
    <t>城投-工业-建筑-建筑与工程Ⅲ-建筑与工程Ⅳ</t>
  </si>
  <si>
    <t>2.19Y+2.00Y</t>
  </si>
  <si>
    <t>1014删除</t>
  </si>
  <si>
    <r>
      <rPr>
        <b val="1"/>
        <i val="0"/>
        <strike val="0"/>
        <color rgb="FFFFFFFF"/>
        <sz val="10"/>
        <u val="none"/>
      </rPr>
      <t>中低评级合计</t>
    </r>
    <r>
      <rPr>
        <b val="0"/>
        <i val="0"/>
        <strike val="0"/>
        <color rgb="FFFFFFFF"/>
        <sz val="10"/>
        <u val="none"/>
      </rPr>
      <t xml:space="preserve">
</t>
    </r>
    <r>
      <rPr>
        <b val="1"/>
        <i val="0"/>
        <strike val="0"/>
        <color rgb="FFFFFFFF"/>
        <sz val="10"/>
        <u val="none"/>
      </rPr>
      <t>（合计不超15亿）</t>
    </r>
  </si>
  <si>
    <r>
      <rPr>
        <b val="1"/>
        <i val="0"/>
        <strike val="0"/>
        <color rgb="FFFFFFFF"/>
        <sz val="10"/>
        <u val="none"/>
      </rPr>
      <t>AA结算金额</t>
    </r>
    <r>
      <rPr>
        <b val="0"/>
        <i val="0"/>
        <strike val="0"/>
        <color rgb="FFFFFFFF"/>
        <sz val="10"/>
        <u val="none"/>
      </rPr>
      <t xml:space="preserve">
</t>
    </r>
    <r>
      <rPr>
        <b val="1"/>
        <i val="0"/>
        <strike val="0"/>
        <color rgb="FFFFFFFF"/>
        <sz val="10"/>
        <u val="none"/>
      </rPr>
      <t>（事业部不超5亿）</t>
    </r>
  </si>
  <si>
    <r>
      <rPr>
        <b val="0"/>
        <i val="0"/>
        <strike val="0"/>
        <sz val="10"/>
      </rPr>
      <t>283610.SH</t>
    </r>
  </si>
  <si>
    <r>
      <rPr>
        <rFont val="微软雅黑"/>
        <b val="0"/>
        <i val="0"/>
        <strike val="0"/>
        <sz val="10"/>
      </rPr>
      <t>259098.SH</t>
    </r>
  </si>
  <si>
    <r>
      <rPr>
        <rFont val="微软雅黑"/>
        <b val="0"/>
        <i val="0"/>
        <strike val="0"/>
        <sz val="10"/>
      </rPr>
      <t>257270.SH</t>
    </r>
  </si>
  <si>
    <r>
      <rPr>
        <rFont val="微软雅黑"/>
        <b val="0"/>
        <i val="0"/>
        <strike val="0"/>
        <sz val="10"/>
      </rPr>
      <t>280852.SH</t>
    </r>
  </si>
  <si>
    <r>
      <rPr>
        <rFont val="微软雅黑"/>
        <b val="0"/>
        <i val="0"/>
        <strike val="0"/>
        <sz val="10"/>
      </rPr>
      <t>257787.SH</t>
    </r>
  </si>
  <si>
    <r>
      <rPr>
        <rFont val="微软雅黑"/>
        <b val="0"/>
        <i val="0"/>
        <strike val="0"/>
        <sz val="10"/>
      </rPr>
      <t>283848.SH</t>
    </r>
  </si>
  <si>
    <r>
      <rPr>
        <rFont val="微软雅黑"/>
        <b val="0"/>
        <i val="0"/>
        <strike val="0"/>
        <sz val="10"/>
      </rPr>
      <t>282897.SH</t>
    </r>
  </si>
  <si>
    <r>
      <rPr>
        <rFont val="微软雅黑"/>
        <b val="0"/>
        <i val="0"/>
        <strike val="0"/>
        <sz val="10"/>
      </rPr>
      <t>283131.SH</t>
    </r>
  </si>
  <si>
    <r>
      <rPr>
        <b val="0"/>
        <i val="0"/>
        <strike val="0"/>
        <sz val="10"/>
      </rPr>
      <t>246031.SH</t>
    </r>
  </si>
  <si>
    <r>
      <rPr>
        <b val="0"/>
        <i val="0"/>
        <strike val="0"/>
        <sz val="10"/>
      </rPr>
      <t>283546.SH</t>
    </r>
  </si>
  <si>
    <r>
      <rPr>
        <b val="0"/>
        <i val="0"/>
        <strike val="0"/>
        <sz val="10"/>
      </rPr>
      <t>253023.SH</t>
    </r>
  </si>
  <si>
    <r>
      <rPr>
        <b val="0"/>
        <i val="0"/>
        <strike val="0"/>
        <sz val="10"/>
      </rPr>
      <t>283501.SH</t>
    </r>
  </si>
  <si>
    <r>
      <rPr>
        <b val="0"/>
        <i val="0"/>
        <strike val="0"/>
        <sz val="10"/>
      </rPr>
      <t>283118.SH</t>
    </r>
  </si>
  <si>
    <r>
      <rPr>
        <b val="0"/>
        <i val="0"/>
        <strike val="0"/>
        <sz val="10"/>
      </rPr>
      <t>282753.SH</t>
    </r>
  </si>
  <si>
    <r>
      <rPr>
        <b val="0"/>
        <i val="0"/>
        <strike val="0"/>
        <sz val="10"/>
      </rPr>
      <t>256171.SH</t>
    </r>
  </si>
  <si>
    <r>
      <rPr>
        <b val="0"/>
        <i val="0"/>
        <strike val="0"/>
        <sz val="10"/>
      </rPr>
      <t>525022.SZ</t>
    </r>
  </si>
  <si>
    <r>
      <rPr>
        <rFont val="微软雅黑"/>
        <b val="0"/>
        <i val="0"/>
        <strike val="0"/>
        <sz val="10"/>
      </rPr>
      <t>246106.SH</t>
    </r>
  </si>
  <si>
    <r>
      <rPr>
        <b val="0"/>
        <i val="0"/>
        <strike val="0"/>
        <sz val="10"/>
      </rPr>
      <t>282899.SH</t>
    </r>
  </si>
  <si>
    <r>
      <rPr>
        <b val="0"/>
        <i val="0"/>
        <strike val="0"/>
        <sz val="10"/>
      </rPr>
      <t>282135.SH</t>
    </r>
  </si>
  <si>
    <r>
      <rPr>
        <b val="0"/>
        <i val="0"/>
        <strike val="0"/>
        <sz val="10"/>
      </rPr>
      <t>246114.SH</t>
    </r>
  </si>
  <si>
    <r>
      <rPr>
        <b val="0"/>
        <i val="0"/>
        <strike val="0"/>
        <sz val="10"/>
      </rPr>
      <t>283616.SH</t>
    </r>
  </si>
  <si>
    <r>
      <rPr>
        <b val="0"/>
        <i val="0"/>
        <strike val="0"/>
        <sz val="10"/>
      </rPr>
      <t>257436.SH</t>
    </r>
  </si>
  <si>
    <r>
      <rPr>
        <b val="0"/>
        <i val="0"/>
        <strike val="0"/>
        <sz val="10"/>
      </rPr>
      <t>282002.SH</t>
    </r>
  </si>
  <si>
    <r>
      <rPr>
        <b val="0"/>
        <i val="0"/>
        <strike val="0"/>
        <sz val="10"/>
      </rPr>
      <t>282795.SH</t>
    </r>
  </si>
  <si>
    <r>
      <rPr>
        <b val="0"/>
        <i val="0"/>
        <strike val="0"/>
        <sz val="10"/>
      </rPr>
      <t>280054.SH</t>
    </r>
  </si>
  <si>
    <r>
      <rPr>
        <b val="0"/>
        <i val="0"/>
        <strike val="0"/>
        <sz val="10"/>
      </rPr>
      <t>134154.SZ</t>
    </r>
  </si>
  <si>
    <r>
      <rPr>
        <b val="0"/>
        <i val="0"/>
        <strike val="0"/>
        <sz val="10"/>
      </rPr>
      <t>283866.SH</t>
    </r>
  </si>
  <si>
    <r>
      <rPr>
        <b val="0"/>
        <i val="0"/>
        <strike val="0"/>
        <sz val="10"/>
      </rPr>
      <t>284145.SH</t>
    </r>
  </si>
  <si>
    <r>
      <rPr>
        <b val="0"/>
        <i val="0"/>
        <strike val="0"/>
        <sz val="10"/>
      </rPr>
      <t>282699.SH</t>
    </r>
  </si>
  <si>
    <r>
      <rPr>
        <b val="0"/>
        <i val="0"/>
        <strike val="0"/>
        <sz val="10"/>
      </rPr>
      <t>283565.SH</t>
    </r>
  </si>
  <si>
    <r>
      <rPr>
        <b val="0"/>
        <i val="0"/>
        <strike val="0"/>
        <sz val="10"/>
      </rPr>
      <t>283799.SH</t>
    </r>
  </si>
  <si>
    <r>
      <rPr>
        <b val="0"/>
        <i val="0"/>
        <strike val="0"/>
        <sz val="10"/>
      </rPr>
      <t>281135.SH</t>
    </r>
  </si>
  <si>
    <r>
      <rPr>
        <rFont val="微软雅黑"/>
        <b val="0"/>
        <i val="0"/>
        <strike val="0"/>
        <sz val="10"/>
      </rPr>
      <t>525022.SZ</t>
    </r>
  </si>
  <si>
    <r>
      <rPr>
        <rFont val="微软雅黑"/>
        <b val="0"/>
        <i val="0"/>
        <strike val="0"/>
        <sz val="10"/>
      </rPr>
      <t>246114.SH</t>
    </r>
  </si>
  <si>
    <r>
      <rPr>
        <rFont val="微软雅黑"/>
        <b val="0"/>
        <i val="0"/>
        <strike val="0"/>
        <sz val="10"/>
      </rPr>
      <t>283953.SH</t>
    </r>
  </si>
  <si>
    <r>
      <rPr>
        <rFont val="微软雅黑"/>
        <b val="0"/>
        <i val="0"/>
        <strike val="0"/>
        <sz val="10"/>
      </rPr>
      <t>284033.SH</t>
    </r>
  </si>
  <si>
    <r>
      <rPr>
        <b val="0"/>
        <i val="0"/>
        <strike val="0"/>
        <sz val="10"/>
      </rPr>
      <t>520500.SZ</t>
    </r>
  </si>
  <si>
    <r>
      <rPr>
        <b val="0"/>
        <i val="0"/>
        <strike val="0"/>
        <sz val="10"/>
      </rPr>
      <t>284062.SH</t>
    </r>
  </si>
  <si>
    <r>
      <rPr>
        <b val="0"/>
        <i val="0"/>
        <strike val="0"/>
        <sz val="10"/>
      </rPr>
      <t>284116.SH</t>
    </r>
  </si>
  <si>
    <r>
      <rPr>
        <b val="0"/>
        <i val="0"/>
        <strike val="0"/>
        <sz val="10"/>
      </rPr>
      <t>520504.SZ</t>
    </r>
  </si>
  <si>
    <r>
      <rPr>
        <b val="0"/>
        <i val="0"/>
        <strike val="0"/>
        <sz val="10"/>
      </rPr>
      <t>283937.SH</t>
    </r>
  </si>
  <si>
    <r>
      <rPr>
        <b val="0"/>
        <i val="0"/>
        <strike val="0"/>
        <sz val="10"/>
      </rPr>
      <t>283936.SH</t>
    </r>
  </si>
  <si>
    <r>
      <rPr>
        <b val="0"/>
        <i val="0"/>
        <strike val="0"/>
        <sz val="10"/>
      </rPr>
      <t>284108.SH</t>
    </r>
  </si>
  <si>
    <r>
      <rPr>
        <b val="0"/>
        <i val="0"/>
        <strike val="0"/>
        <sz val="10"/>
      </rPr>
      <t>520511.SZ</t>
    </r>
  </si>
  <si>
    <r>
      <rPr>
        <rFont val="Times New Roman"/>
        <b val="1"/>
        <i val="0"/>
        <strike val="0"/>
        <color rgb="FF000000"/>
        <sz val="18"/>
        <u val="none"/>
      </rPr>
      <t>2026</t>
    </r>
    <r>
      <rPr>
        <rFont val="宋体"/>
        <b val="1"/>
        <i val="0"/>
        <strike val="0"/>
        <color rgb="FF000000"/>
        <sz val="18"/>
        <u val="none"/>
      </rPr>
      <t>年度资金占用积数统计表</t>
    </r>
    <r>
      <rPr>
        <rFont val="Times New Roman"/>
        <b val="1"/>
        <i val="0"/>
        <strike val="0"/>
        <color rgb="FF000000"/>
        <sz val="18"/>
        <u val="none"/>
      </rPr>
      <t>——</t>
    </r>
    <r>
      <rPr>
        <rFont val="宋体"/>
        <b val="1"/>
        <i val="0"/>
        <strike val="0"/>
        <color rgb="FF000000"/>
        <sz val="18"/>
        <u val="none"/>
      </rPr>
      <t>销售交易部</t>
    </r>
  </si>
  <si>
    <r>
      <rPr>
        <b val="0"/>
        <i val="0"/>
        <strike val="0"/>
        <color rgb="FF175CEB"/>
        <sz val="10"/>
        <u/>
      </rPr>
      <t>ytl@swsc.com.cn</t>
    </r>
  </si>
  <si>
    <r>
      <rPr>
        <b val="0"/>
        <i val="0"/>
        <strike val="0"/>
        <color rgb="FF175CEB"/>
        <sz val="10"/>
        <u/>
      </rPr>
      <t>zhengyif@swsc.com.cn</t>
    </r>
  </si>
  <si>
    <r>
      <rPr>
        <b val="0"/>
        <i val="0"/>
        <strike val="0"/>
        <color rgb="FF175CEB"/>
        <sz val="10"/>
        <u/>
      </rPr>
      <t>wld@swsc.com.cn</t>
    </r>
  </si>
  <si>
    <r>
      <rPr>
        <b val="0"/>
        <i val="0"/>
        <strike val="0"/>
        <color rgb="FF175CEB"/>
        <sz val="10"/>
        <u/>
      </rPr>
      <t>huangzq@swsc.com.cn</t>
    </r>
  </si>
  <si>
    <r>
      <rPr>
        <b val="0"/>
        <i val="0"/>
        <strike val="0"/>
        <color rgb="FF175CEB"/>
        <sz val="10"/>
        <u/>
      </rPr>
      <t>gongrang@swsc.com.cn</t>
    </r>
  </si>
  <si>
    <r>
      <rPr>
        <b val="0"/>
        <i val="0"/>
        <strike val="0"/>
        <color rgb="FF175CEB"/>
        <sz val="10"/>
        <u/>
      </rPr>
      <t>czn@swsc.com.cn</t>
    </r>
  </si>
  <si>
    <r>
      <rPr>
        <b val="0"/>
        <i val="0"/>
        <strike val="0"/>
        <color rgb="FF175CEB"/>
        <sz val="10"/>
        <u/>
      </rPr>
      <t>tangyif@swsc.com.cn</t>
    </r>
  </si>
  <si>
    <r>
      <rPr>
        <b val="0"/>
        <i val="0"/>
        <strike val="0"/>
        <color rgb="FF000000"/>
        <sz val="10"/>
        <u val="none"/>
      </rPr>
      <t>zhaozz</t>
    </r>
    <r>
      <rPr>
        <b val="0"/>
        <i val="0"/>
        <strike val="0"/>
        <color rgb="FF175CEB"/>
        <sz val="10"/>
        <u/>
      </rPr>
      <t>@swsc.com.cn</t>
    </r>
  </si>
  <si>
    <r>
      <rPr>
        <rFont val="Times New Roman"/>
        <b val="1"/>
        <i val="0"/>
        <strike val="0"/>
        <color rgb="FF000000"/>
        <sz val="18"/>
      </rPr>
      <t>2025</t>
    </r>
    <r>
      <rPr>
        <rFont val="宋体"/>
        <b val="1"/>
        <i val="0"/>
        <strike val="0"/>
        <color rgb="FF000000"/>
        <sz val="18"/>
      </rPr>
      <t>年度资金占用积数统计表</t>
    </r>
    <r>
      <rPr>
        <rFont val="Times New Roman"/>
        <b val="1"/>
        <i val="0"/>
        <strike val="0"/>
        <color rgb="FF000000"/>
        <sz val="18"/>
      </rPr>
      <t>——</t>
    </r>
    <r>
      <rPr>
        <rFont val="宋体"/>
        <b val="1"/>
        <i val="0"/>
        <strike val="0"/>
        <color rgb="FF000000"/>
        <sz val="18"/>
      </rPr>
      <t>销售交易部</t>
    </r>
  </si>
  <si>
    <r>
      <rPr>
        <rFont val="宋体"/>
        <b val="0"/>
        <i val="0"/>
        <strike val="0"/>
        <color rgb="FF000000"/>
        <sz val="12"/>
      </rPr>
      <t>收沪市私募债卖出款</t>
    </r>
    <r>
      <rPr>
        <rFont val="Times New Roman"/>
        <b val="0"/>
        <i val="0"/>
        <strike val="0"/>
        <color rgb="FF000000"/>
        <sz val="12"/>
      </rPr>
      <t>2.05</t>
    </r>
    <r>
      <rPr>
        <rFont val="宋体"/>
        <b val="0"/>
        <i val="0"/>
        <strike val="0"/>
        <color rgb="FF000000"/>
        <sz val="12"/>
      </rPr>
      <t>亿元（销交）。付沪市私募债买入款2.05亿元（销交）</t>
    </r>
  </si>
  <si>
    <r>
      <rPr>
        <rFont val="宋体"/>
        <b val="0"/>
        <i val="0"/>
        <strike val="0"/>
        <color rgb="FF000000"/>
        <sz val="12"/>
      </rPr>
      <t>付沪市私募债买入款</t>
    </r>
    <r>
      <rPr>
        <rFont val="Times New Roman"/>
        <b val="0"/>
        <i val="0"/>
        <strike val="0"/>
        <color rgb="FF000000"/>
        <sz val="12"/>
      </rPr>
      <t>0.93</t>
    </r>
    <r>
      <rPr>
        <rFont val="宋体"/>
        <b val="0"/>
        <i val="0"/>
        <strike val="0"/>
        <color rgb="FF000000"/>
        <sz val="12"/>
      </rPr>
      <t>亿元（销交）（银行间买入，交易所债重复计算，牟发5000w）</t>
    </r>
  </si>
  <si>
    <r>
      <rPr>
        <rFont val="宋体"/>
        <b val="0"/>
        <i val="0"/>
        <strike val="0"/>
        <color rgb="FF000000"/>
        <sz val="12"/>
      </rPr>
      <t>收沪市私募债卖出款</t>
    </r>
    <r>
      <rPr>
        <rFont val="Times New Roman"/>
        <b val="0"/>
        <i val="0"/>
        <strike val="0"/>
        <color rgb="FF000000"/>
        <sz val="12"/>
      </rPr>
      <t>0.1</t>
    </r>
    <r>
      <rPr>
        <rFont val="宋体"/>
        <b val="0"/>
        <i val="0"/>
        <strike val="0"/>
        <color rgb="FF000000"/>
        <sz val="12"/>
      </rPr>
      <t>亿元（销交）</t>
    </r>
  </si>
  <si>
    <r>
      <rPr>
        <rFont val="宋体"/>
        <b val="0"/>
        <i val="0"/>
        <strike val="0"/>
        <color rgb="FF000000"/>
        <sz val="12"/>
      </rPr>
      <t>付沪市私募债买入款</t>
    </r>
    <r>
      <rPr>
        <rFont val="Times New Roman"/>
        <b val="0"/>
        <i val="0"/>
        <strike val="0"/>
        <color rgb="FF000000"/>
        <sz val="12"/>
      </rPr>
      <t>0.3</t>
    </r>
    <r>
      <rPr>
        <rFont val="宋体"/>
        <b val="0"/>
        <i val="0"/>
        <strike val="0"/>
        <color rgb="FF000000"/>
        <sz val="12"/>
      </rPr>
      <t>亿元（销交）。</t>
    </r>
  </si>
  <si>
    <r>
      <rPr>
        <rFont val="宋体"/>
        <b val="0"/>
        <i val="0"/>
        <strike val="0"/>
        <color rgb="FF000000"/>
        <sz val="12"/>
      </rPr>
      <t>收沪市私募债卖出款</t>
    </r>
    <r>
      <rPr>
        <rFont val="Times New Roman"/>
        <b val="0"/>
        <i val="0"/>
        <strike val="0"/>
        <color rgb="FF000000"/>
        <sz val="12"/>
      </rPr>
      <t>0.14</t>
    </r>
    <r>
      <rPr>
        <rFont val="宋体"/>
        <b val="0"/>
        <i val="0"/>
        <strike val="0"/>
        <color rgb="FF000000"/>
        <sz val="12"/>
      </rPr>
      <t>亿元（销交）；付沪市私募债买入款0.14亿元（销交）。</t>
    </r>
  </si>
  <si>
    <r>
      <rPr>
        <rFont val="宋体"/>
        <b val="0"/>
        <i val="0"/>
        <strike val="0"/>
        <color rgb="FF000000"/>
        <sz val="12"/>
      </rPr>
      <t>收沪市私募债卖出款</t>
    </r>
    <r>
      <rPr>
        <rFont val="Times New Roman"/>
        <b val="0"/>
        <i val="0"/>
        <strike val="0"/>
        <color rgb="FF000000"/>
        <sz val="12"/>
      </rPr>
      <t>1</t>
    </r>
    <r>
      <rPr>
        <rFont val="宋体"/>
        <b val="0"/>
        <i val="0"/>
        <strike val="0"/>
        <color rgb="FF000000"/>
        <sz val="12"/>
      </rPr>
      <t>亿元（销交）。付沪市私募债买入款0.2亿元（销交）；</t>
    </r>
  </si>
  <si>
    <r>
      <rPr>
        <rFont val="宋体"/>
        <b val="0"/>
        <i val="0"/>
        <strike val="0"/>
        <color rgb="FF000000"/>
        <sz val="12"/>
      </rPr>
      <t>付沪市私募债买入款</t>
    </r>
    <r>
      <rPr>
        <rFont val="Times New Roman"/>
        <b val="0"/>
        <i val="0"/>
        <strike val="0"/>
        <color rgb="FF000000"/>
        <sz val="12"/>
      </rPr>
      <t>0.1</t>
    </r>
    <r>
      <rPr>
        <rFont val="宋体"/>
        <b val="0"/>
        <i val="0"/>
        <strike val="0"/>
        <color rgb="FF000000"/>
        <sz val="12"/>
      </rPr>
      <t>亿元（销交）；</t>
    </r>
  </si>
  <si>
    <r>
      <rPr>
        <rFont val="宋体"/>
        <b val="0"/>
        <i val="0"/>
        <strike val="0"/>
        <color rgb="FF000000"/>
        <sz val="12"/>
      </rPr>
      <t>付深市私募债买入款0.3亿元（销交）。付沪市私募债买入款</t>
    </r>
    <r>
      <rPr>
        <rFont val="Times New Roman"/>
        <b val="0"/>
        <i val="0"/>
        <strike val="0"/>
        <color rgb="FF000000"/>
        <sz val="12"/>
      </rPr>
      <t>0.72</t>
    </r>
    <r>
      <rPr>
        <rFont val="宋体"/>
        <b val="0"/>
        <i val="0"/>
        <strike val="0"/>
        <color rgb="FF000000"/>
        <sz val="12"/>
      </rPr>
      <t>亿元（销交）；</t>
    </r>
    <r>
      <rPr>
        <rFont val="Times New Roman"/>
        <b val="0"/>
        <i val="0"/>
        <strike val="0"/>
        <color rgb="FF000000"/>
        <sz val="12"/>
      </rPr>
      <t xml:space="preserve">  </t>
    </r>
    <r>
      <rPr>
        <rFont val="宋体"/>
        <b val="0"/>
        <i val="0"/>
        <strike val="0"/>
        <color rgb="FF000000"/>
        <sz val="12"/>
      </rPr>
      <t>收沪市私募债卖出款</t>
    </r>
    <r>
      <rPr>
        <rFont val="Times New Roman"/>
        <b val="0"/>
        <i val="0"/>
        <strike val="0"/>
        <color rgb="FF000000"/>
        <sz val="12"/>
      </rPr>
      <t>0.2</t>
    </r>
    <r>
      <rPr>
        <rFont val="宋体"/>
        <b val="0"/>
        <i val="0"/>
        <strike val="0"/>
        <color rgb="FF000000"/>
        <sz val="12"/>
      </rPr>
      <t>亿元（销交）；</t>
    </r>
  </si>
  <si>
    <r>
      <rPr>
        <rFont val="宋体"/>
        <b val="0"/>
        <i val="0"/>
        <strike val="0"/>
        <color rgb="FF000000"/>
        <sz val="12"/>
      </rPr>
      <t>收沪市私募债卖出款</t>
    </r>
    <r>
      <rPr>
        <rFont val="Times New Roman"/>
        <b val="0"/>
        <i val="0"/>
        <strike val="0"/>
        <color rgb="FF000000"/>
        <sz val="12"/>
      </rPr>
      <t>1.24</t>
    </r>
    <r>
      <rPr>
        <rFont val="宋体"/>
        <b val="0"/>
        <i val="0"/>
        <strike val="0"/>
        <color rgb="FF000000"/>
        <sz val="12"/>
      </rPr>
      <t>亿元（销交）；</t>
    </r>
    <r>
      <rPr>
        <rFont val="Times New Roman"/>
        <b val="0"/>
        <i val="0"/>
        <strike val="0"/>
        <color rgb="FF000000"/>
        <sz val="12"/>
      </rPr>
      <t xml:space="preserve"> </t>
    </r>
    <r>
      <rPr>
        <rFont val="宋体"/>
        <b val="0"/>
        <i val="0"/>
        <strike val="0"/>
        <color rgb="FF000000"/>
        <sz val="12"/>
      </rPr>
      <t>收深市私募债卖出款</t>
    </r>
    <r>
      <rPr>
        <rFont val="Times New Roman"/>
        <b val="0"/>
        <i val="0"/>
        <strike val="0"/>
        <color rgb="FF000000"/>
        <sz val="12"/>
      </rPr>
      <t>0.3</t>
    </r>
    <r>
      <rPr>
        <rFont val="宋体"/>
        <b val="0"/>
        <i val="0"/>
        <strike val="0"/>
        <color rgb="FF000000"/>
        <sz val="12"/>
      </rPr>
      <t>亿元（销交）；付沪市私募债买入款1.44亿元（销交）；</t>
    </r>
  </si>
  <si>
    <r>
      <rPr>
        <rFont val="宋体"/>
        <b val="0"/>
        <i val="0"/>
        <strike val="0"/>
        <color rgb="FF000000"/>
        <sz val="12"/>
      </rPr>
      <t>收沪市私募债卖出款</t>
    </r>
    <r>
      <rPr>
        <rFont val="Times New Roman"/>
        <b val="0"/>
        <i val="0"/>
        <strike val="0"/>
        <color rgb="FF000000"/>
        <sz val="12"/>
      </rPr>
      <t>0.16</t>
    </r>
    <r>
      <rPr>
        <rFont val="宋体"/>
        <b val="0"/>
        <i val="0"/>
        <strike val="0"/>
        <color rgb="FF000000"/>
        <sz val="12"/>
      </rPr>
      <t>亿元（销交）；付沪市私募债买入款0.16亿元（销交）；</t>
    </r>
  </si>
  <si>
    <r>
      <rPr>
        <rFont val="宋体"/>
        <b val="0"/>
        <i val="0"/>
        <strike val="0"/>
        <color rgb="FF000000"/>
        <sz val="12"/>
      </rPr>
      <t>收沪市私募债卖出款</t>
    </r>
    <r>
      <rPr>
        <rFont val="Times New Roman"/>
        <b val="0"/>
        <i val="0"/>
        <strike val="0"/>
        <color rgb="FF000000"/>
        <sz val="12"/>
      </rPr>
      <t>0.4</t>
    </r>
    <r>
      <rPr>
        <rFont val="宋体"/>
        <b val="0"/>
        <i val="0"/>
        <strike val="0"/>
        <color rgb="FF000000"/>
        <sz val="12"/>
      </rPr>
      <t>亿元（销交）；收深市私募债卖出款</t>
    </r>
    <r>
      <rPr>
        <rFont val="Times New Roman"/>
        <b val="0"/>
        <i val="0"/>
        <strike val="0"/>
        <color rgb="FF000000"/>
        <sz val="12"/>
      </rPr>
      <t>0.5</t>
    </r>
    <r>
      <rPr>
        <rFont val="宋体"/>
        <b val="0"/>
        <i val="0"/>
        <strike val="0"/>
        <color rgb="FF000000"/>
        <sz val="12"/>
      </rPr>
      <t>亿元（销交）。 付沪市私募债买入款0.7亿元（销交）；付沪市私募债买入款0.5亿元（销交）；</t>
    </r>
  </si>
  <si>
    <r>
      <rPr>
        <rFont val="宋体"/>
        <b val="0"/>
        <i val="0"/>
        <strike val="0"/>
        <color rgb="FF000000"/>
        <sz val="12"/>
      </rPr>
      <t>付沪市私募债买入款</t>
    </r>
    <r>
      <rPr>
        <rFont val="Times New Roman"/>
        <b val="0"/>
        <i val="0"/>
        <strike val="0"/>
        <color rgb="FF000000"/>
        <sz val="12"/>
      </rPr>
      <t>0.3</t>
    </r>
    <r>
      <rPr>
        <rFont val="宋体"/>
        <b val="0"/>
        <i val="0"/>
        <strike val="0"/>
        <color rgb="FF000000"/>
        <sz val="12"/>
      </rPr>
      <t>亿元（销交）；</t>
    </r>
  </si>
  <si>
    <r>
      <rPr>
        <rFont val="宋体"/>
        <b val="0"/>
        <i val="0"/>
        <strike val="0"/>
        <color rgb="FF000000"/>
        <sz val="12"/>
      </rPr>
      <t>收沪市私募债卖出款</t>
    </r>
    <r>
      <rPr>
        <rFont val="Times New Roman"/>
        <b val="0"/>
        <i val="0"/>
        <strike val="0"/>
        <color rgb="FF000000"/>
        <sz val="12"/>
      </rPr>
      <t>1.01</t>
    </r>
    <r>
      <rPr>
        <rFont val="宋体"/>
        <b val="0"/>
        <i val="0"/>
        <strike val="0"/>
        <color rgb="FF000000"/>
        <sz val="12"/>
      </rPr>
      <t>亿元（销交）； 付沪市私募债买入款0.91亿元（销交）。</t>
    </r>
  </si>
  <si>
    <r>
      <rPr>
        <rFont val="宋体"/>
        <b val="0"/>
        <i val="0"/>
        <strike val="0"/>
        <color rgb="FF000000"/>
        <sz val="12"/>
      </rPr>
      <t>收沪市私募债卖出款</t>
    </r>
    <r>
      <rPr>
        <rFont val="Times New Roman"/>
        <b val="0"/>
        <i val="0"/>
        <strike val="0"/>
        <color rgb="FF000000"/>
        <sz val="12"/>
      </rPr>
      <t>0.8</t>
    </r>
    <r>
      <rPr>
        <rFont val="宋体"/>
        <b val="0"/>
        <i val="0"/>
        <strike val="0"/>
        <color rgb="FF000000"/>
        <sz val="12"/>
      </rPr>
      <t>亿元（销交）；</t>
    </r>
    <r>
      <rPr>
        <rFont val="Times New Roman"/>
        <b val="0"/>
        <i val="0"/>
        <strike val="0"/>
        <color rgb="FF000000"/>
        <sz val="12"/>
      </rPr>
      <t xml:space="preserve"> </t>
    </r>
    <r>
      <rPr>
        <rFont val="宋体"/>
        <b val="0"/>
        <i val="0"/>
        <strike val="0"/>
        <color rgb="FF000000"/>
        <sz val="12"/>
      </rPr>
      <t>收深市私募债卖出款</t>
    </r>
    <r>
      <rPr>
        <rFont val="Times New Roman"/>
        <b val="0"/>
        <i val="0"/>
        <strike val="0"/>
        <color rgb="FF000000"/>
        <sz val="12"/>
      </rPr>
      <t>0.3</t>
    </r>
    <r>
      <rPr>
        <rFont val="宋体"/>
        <b val="0"/>
        <i val="0"/>
        <strike val="0"/>
        <color rgb="FF000000"/>
        <sz val="12"/>
      </rPr>
      <t xml:space="preserve">亿元（销交）；付沪市私募债买入款0.6亿元（销交）； 付深市私募债买入款0.3亿元（销交）；
</t>
    </r>
  </si>
  <si>
    <r>
      <rPr>
        <rFont val="宋体"/>
        <b val="0"/>
        <i val="0"/>
        <strike val="0"/>
        <color rgb="FF000000"/>
        <sz val="12"/>
      </rPr>
      <t>付沪市私募债买入款</t>
    </r>
    <r>
      <rPr>
        <rFont val="Times New Roman"/>
        <b val="0"/>
        <i val="0"/>
        <strike val="0"/>
        <color rgb="FF000000"/>
        <sz val="12"/>
      </rPr>
      <t>0.43</t>
    </r>
    <r>
      <rPr>
        <rFont val="宋体"/>
        <b val="0"/>
        <i val="0"/>
        <strike val="0"/>
        <color rgb="FF000000"/>
        <sz val="12"/>
      </rPr>
      <t>亿元（销交）；</t>
    </r>
  </si>
  <si>
    <r>
      <rPr>
        <rFont val="宋体"/>
        <b val="0"/>
        <i val="0"/>
        <strike val="0"/>
        <color rgb="FF000000"/>
        <sz val="12"/>
      </rPr>
      <t>收沪市私募债卖出款</t>
    </r>
    <r>
      <rPr>
        <rFont val="Times New Roman"/>
        <b val="0"/>
        <i val="0"/>
        <strike val="0"/>
        <color rgb="FF000000"/>
        <sz val="12"/>
      </rPr>
      <t>0.9</t>
    </r>
    <r>
      <rPr>
        <rFont val="宋体"/>
        <b val="0"/>
        <i val="0"/>
        <strike val="0"/>
        <color rgb="FF000000"/>
        <sz val="12"/>
      </rPr>
      <t>亿元（销交）；付沪市私募债买入款1亿元（销交）</t>
    </r>
  </si>
  <si>
    <r>
      <rPr>
        <rFont val="宋体"/>
        <b val="0"/>
        <i val="0"/>
        <strike val="0"/>
        <color rgb="FF000000"/>
        <sz val="12"/>
      </rPr>
      <t>收深市私募债卖出款</t>
    </r>
    <r>
      <rPr>
        <rFont val="Times New Roman"/>
        <b val="0"/>
        <i val="0"/>
        <strike val="0"/>
        <color rgb="FF000000"/>
        <sz val="12"/>
      </rPr>
      <t>0.2</t>
    </r>
    <r>
      <rPr>
        <rFont val="宋体"/>
        <b val="0"/>
        <i val="0"/>
        <strike val="0"/>
        <color rgb="FF000000"/>
        <sz val="12"/>
      </rPr>
      <t>亿元（销交）；付沪市私募债买入款0.75亿元（销交）； 付深市私募债买入款0.2亿元（销交）；</t>
    </r>
  </si>
  <si>
    <r>
      <rPr>
        <rFont val="宋体"/>
        <b val="0"/>
        <i val="0"/>
        <strike val="0"/>
        <color rgb="FF000000"/>
        <sz val="12"/>
      </rPr>
      <t>收沪市私募债卖出款</t>
    </r>
    <r>
      <rPr>
        <rFont val="Times New Roman"/>
        <b val="0"/>
        <i val="0"/>
        <strike val="0"/>
        <color rgb="FF000000"/>
        <sz val="12"/>
      </rPr>
      <t>0.63</t>
    </r>
    <r>
      <rPr>
        <rFont val="宋体"/>
        <b val="0"/>
        <i val="0"/>
        <strike val="0"/>
        <color rgb="FF000000"/>
        <sz val="12"/>
      </rPr>
      <t>亿元（销交）；付沪市私募债买入款0.43亿元（销交）</t>
    </r>
  </si>
  <si>
    <r>
      <rPr>
        <rFont val="宋体"/>
        <b val="0"/>
        <i val="0"/>
        <strike val="0"/>
        <color rgb="FF000000"/>
        <sz val="12"/>
      </rPr>
      <t>收沪市私募债卖出款</t>
    </r>
    <r>
      <rPr>
        <rFont val="Times New Roman"/>
        <b val="0"/>
        <i val="0"/>
        <strike val="0"/>
        <color rgb="FF000000"/>
        <sz val="12"/>
      </rPr>
      <t>0.46</t>
    </r>
    <r>
      <rPr>
        <rFont val="宋体"/>
        <b val="0"/>
        <i val="0"/>
        <strike val="0"/>
        <color rgb="FF000000"/>
        <sz val="12"/>
      </rPr>
      <t>亿元（销交）；付沪市私募债买入款0.46亿元（销交）</t>
    </r>
  </si>
  <si>
    <r>
      <rPr>
        <rFont val="宋体"/>
        <b val="0"/>
        <i val="0"/>
        <strike val="0"/>
        <color rgb="FF000000"/>
        <sz val="12"/>
      </rPr>
      <t>收沪市私募债卖出款</t>
    </r>
    <r>
      <rPr>
        <rFont val="Times New Roman"/>
        <b val="0"/>
        <i val="0"/>
        <strike val="0"/>
        <color rgb="FF000000"/>
        <sz val="12"/>
      </rPr>
      <t>1</t>
    </r>
    <r>
      <rPr>
        <rFont val="宋体"/>
        <b val="0"/>
        <i val="0"/>
        <strike val="0"/>
        <color rgb="FF000000"/>
        <sz val="12"/>
      </rPr>
      <t>亿元（销交）；付沪市私募债买入款1亿元（销交）。</t>
    </r>
  </si>
  <si>
    <r>
      <rPr>
        <rFont val="宋体"/>
        <b val="0"/>
        <i val="0"/>
        <strike val="0"/>
        <color rgb="FF000000"/>
        <sz val="12"/>
      </rPr>
      <t>收沪市私募债卖出款</t>
    </r>
    <r>
      <rPr>
        <rFont val="Times New Roman"/>
        <b val="0"/>
        <i val="0"/>
        <strike val="0"/>
        <color rgb="FF000000"/>
        <sz val="12"/>
      </rPr>
      <t>0.3</t>
    </r>
    <r>
      <rPr>
        <rFont val="宋体"/>
        <b val="0"/>
        <i val="0"/>
        <strike val="0"/>
        <color rgb="FF000000"/>
        <sz val="12"/>
      </rPr>
      <t>亿元（销交）；</t>
    </r>
  </si>
  <si>
    <r>
      <rPr>
        <rFont val="宋体"/>
        <b val="0"/>
        <i val="0"/>
        <strike val="0"/>
        <color rgb="FF000000"/>
        <sz val="12"/>
      </rPr>
      <t>收沪市私募债卖出款</t>
    </r>
    <r>
      <rPr>
        <rFont val="Times New Roman"/>
        <b val="0"/>
        <i val="0"/>
        <strike val="0"/>
        <color rgb="FF000000"/>
        <sz val="12"/>
      </rPr>
      <t>0.5</t>
    </r>
    <r>
      <rPr>
        <rFont val="宋体"/>
        <b val="0"/>
        <i val="0"/>
        <strike val="0"/>
        <color rgb="FF000000"/>
        <sz val="12"/>
      </rPr>
      <t>亿元（销交）；收深市私募债卖出款</t>
    </r>
    <r>
      <rPr>
        <rFont val="Times New Roman"/>
        <b val="0"/>
        <i val="0"/>
        <strike val="0"/>
        <color rgb="FF000000"/>
        <sz val="12"/>
      </rPr>
      <t>0.41</t>
    </r>
    <r>
      <rPr>
        <rFont val="宋体"/>
        <b val="0"/>
        <i val="0"/>
        <strike val="0"/>
        <color rgb="FF000000"/>
        <sz val="12"/>
      </rPr>
      <t>亿元（销交）；</t>
    </r>
    <r>
      <rPr>
        <rFont val="Times New Roman"/>
        <b val="0"/>
        <i val="0"/>
        <strike val="0"/>
        <color rgb="FF000000"/>
        <sz val="12"/>
      </rPr>
      <t xml:space="preserve"> </t>
    </r>
    <r>
      <rPr>
        <rFont val="宋体"/>
        <b val="0"/>
        <i val="0"/>
        <strike val="0"/>
        <color rgb="FF000000"/>
        <sz val="12"/>
      </rPr>
      <t>付沪市私募债买入款</t>
    </r>
    <r>
      <rPr>
        <rFont val="Times New Roman"/>
        <b val="0"/>
        <i val="0"/>
        <strike val="0"/>
        <color rgb="FF000000"/>
        <sz val="12"/>
      </rPr>
      <t>0.5</t>
    </r>
    <r>
      <rPr>
        <rFont val="宋体"/>
        <b val="0"/>
        <i val="0"/>
        <strike val="0"/>
        <color rgb="FF000000"/>
        <sz val="12"/>
      </rPr>
      <t>亿元（销交）；付深市私募债买入款</t>
    </r>
    <r>
      <rPr>
        <rFont val="Times New Roman"/>
        <b val="0"/>
        <i val="0"/>
        <strike val="0"/>
        <color rgb="FF000000"/>
        <sz val="12"/>
      </rPr>
      <t>0.41</t>
    </r>
    <r>
      <rPr>
        <rFont val="宋体"/>
        <b val="0"/>
        <i val="0"/>
        <strike val="0"/>
        <color rgb="FF000000"/>
        <sz val="12"/>
      </rPr>
      <t>亿元（销交）；</t>
    </r>
  </si>
  <si>
    <r>
      <rPr>
        <rFont val="宋体"/>
        <b val="0"/>
        <i val="0"/>
        <strike val="0"/>
        <color rgb="FF000000"/>
        <sz val="12"/>
      </rPr>
      <t>收沪市私募债卖出款</t>
    </r>
    <r>
      <rPr>
        <rFont val="Times New Roman"/>
        <b val="0"/>
        <i val="0"/>
        <strike val="0"/>
        <color rgb="FF000000"/>
        <sz val="12"/>
      </rPr>
      <t>0.8</t>
    </r>
    <r>
      <rPr>
        <rFont val="宋体"/>
        <b val="0"/>
        <i val="0"/>
        <strike val="0"/>
        <color rgb="FF000000"/>
        <sz val="12"/>
      </rPr>
      <t>亿元（销交）。付沪市私募债买入款0.7亿元（销交）；</t>
    </r>
  </si>
  <si>
    <r>
      <rPr>
        <rFont val="宋体"/>
        <b val="0"/>
        <i val="0"/>
        <strike val="0"/>
        <color rgb="FF000000"/>
        <sz val="12"/>
      </rPr>
      <t>收沪市私募债卖出款</t>
    </r>
    <r>
      <rPr>
        <rFont val="Times New Roman"/>
        <b val="0"/>
        <i val="0"/>
        <strike val="0"/>
        <color rgb="FF000000"/>
        <sz val="12"/>
      </rPr>
      <t>1.8</t>
    </r>
    <r>
      <rPr>
        <rFont val="宋体"/>
        <b val="0"/>
        <i val="0"/>
        <strike val="0"/>
        <color rgb="FF000000"/>
        <sz val="12"/>
      </rPr>
      <t>亿元（销交）。付沪市私募债买入款1亿元（销交）。</t>
    </r>
  </si>
  <si>
    <r>
      <rPr>
        <rFont val="宋体"/>
        <b val="0"/>
        <i val="0"/>
        <strike val="0"/>
        <color rgb="FF000000"/>
        <sz val="12"/>
      </rPr>
      <t>收沪市私募债卖出款</t>
    </r>
    <r>
      <rPr>
        <rFont val="Times New Roman"/>
        <b val="0"/>
        <i val="0"/>
        <strike val="0"/>
        <color rgb="FF000000"/>
        <sz val="12"/>
      </rPr>
      <t>0.34</t>
    </r>
    <r>
      <rPr>
        <rFont val="宋体"/>
        <b val="0"/>
        <i val="0"/>
        <strike val="0"/>
        <color rgb="FF000000"/>
        <sz val="12"/>
      </rPr>
      <t>亿元（销交）；付沪市私募债买入款0.34亿元（销交）；</t>
    </r>
  </si>
  <si>
    <r>
      <rPr>
        <rFont val="宋体"/>
        <b val="0"/>
        <i val="0"/>
        <strike val="0"/>
        <color rgb="FF000000"/>
        <sz val="12"/>
      </rPr>
      <t>收沪市私募债卖出款</t>
    </r>
    <r>
      <rPr>
        <rFont val="Times New Roman"/>
        <b val="0"/>
        <i val="0"/>
        <strike val="0"/>
        <color rgb="FF000000"/>
        <sz val="12"/>
      </rPr>
      <t>2.05</t>
    </r>
    <r>
      <rPr>
        <rFont val="宋体"/>
        <b val="0"/>
        <i val="0"/>
        <strike val="0"/>
        <color rgb="FF000000"/>
        <sz val="12"/>
      </rPr>
      <t>亿元（销交）；付沪市私募债买入款1.5亿元（销交）。</t>
    </r>
  </si>
  <si>
    <r>
      <rPr>
        <rFont val="宋体"/>
        <b val="0"/>
        <i val="0"/>
        <strike val="0"/>
        <color rgb="FF000000"/>
        <sz val="12"/>
      </rPr>
      <t>收沪市私募债卖出款</t>
    </r>
    <r>
      <rPr>
        <rFont val="Times New Roman"/>
        <b val="0"/>
        <i val="0"/>
        <strike val="0"/>
        <color rgb="FF000000"/>
        <sz val="12"/>
      </rPr>
      <t>0.4</t>
    </r>
    <r>
      <rPr>
        <rFont val="宋体"/>
        <b val="0"/>
        <i val="0"/>
        <strike val="0"/>
        <color rgb="FF000000"/>
        <sz val="12"/>
      </rPr>
      <t>亿元（销交）；</t>
    </r>
    <r>
      <rPr>
        <rFont val="Times New Roman"/>
        <b val="0"/>
        <i val="0"/>
        <strike val="0"/>
        <color rgb="FF000000"/>
        <sz val="12"/>
      </rPr>
      <t xml:space="preserve"> </t>
    </r>
    <r>
      <rPr>
        <rFont val="宋体"/>
        <b val="0"/>
        <i val="0"/>
        <strike val="0"/>
        <color rgb="FF000000"/>
        <sz val="12"/>
      </rPr>
      <t>付沪市私募债买入款</t>
    </r>
    <r>
      <rPr>
        <rFont val="Times New Roman"/>
        <b val="0"/>
        <i val="0"/>
        <strike val="0"/>
        <color rgb="FF000000"/>
        <sz val="12"/>
      </rPr>
      <t>0.3</t>
    </r>
    <r>
      <rPr>
        <rFont val="宋体"/>
        <b val="0"/>
        <i val="0"/>
        <strike val="0"/>
        <color rgb="FF000000"/>
        <sz val="12"/>
      </rPr>
      <t>亿元（销交）；</t>
    </r>
  </si>
  <si>
    <r>
      <rPr>
        <rFont val="宋体"/>
        <b val="0"/>
        <i val="0"/>
        <strike val="0"/>
        <color rgb="FF000000"/>
        <sz val="12"/>
      </rPr>
      <t>收沪市私募债卖出款</t>
    </r>
    <r>
      <rPr>
        <rFont val="Times New Roman"/>
        <b val="0"/>
        <i val="0"/>
        <strike val="0"/>
        <color rgb="FF000000"/>
        <sz val="12"/>
      </rPr>
      <t>0.05</t>
    </r>
    <r>
      <rPr>
        <rFont val="宋体"/>
        <b val="0"/>
        <i val="0"/>
        <strike val="0"/>
        <color rgb="FF000000"/>
        <sz val="12"/>
      </rPr>
      <t>亿元（销交）；付沪市私募债买入款0.05亿元（销交）；</t>
    </r>
  </si>
  <si>
    <r>
      <rPr>
        <rFont val="宋体"/>
        <b val="0"/>
        <i val="0"/>
        <strike val="0"/>
        <color rgb="FF000000"/>
        <sz val="12"/>
      </rPr>
      <t>收沪市私募债卖出款</t>
    </r>
    <r>
      <rPr>
        <rFont val="Times New Roman"/>
        <b val="0"/>
        <i val="0"/>
        <strike val="0"/>
        <color rgb="FF000000"/>
        <sz val="12"/>
      </rPr>
      <t>0.13</t>
    </r>
    <r>
      <rPr>
        <rFont val="宋体"/>
        <b val="0"/>
        <i val="0"/>
        <strike val="0"/>
        <color rgb="FF000000"/>
        <sz val="12"/>
      </rPr>
      <t xml:space="preserve">亿元（销交）；收深市私募债卖出款0.7亿元（销交）； 付沪市私募债买入款0.33亿元（销交）；付深市私募债买入款0.7亿元（销交）。
</t>
    </r>
  </si>
  <si>
    <r>
      <rPr>
        <rFont val="宋体"/>
        <b val="0"/>
        <i val="0"/>
        <strike val="0"/>
        <color rgb="FF000000"/>
        <sz val="12"/>
      </rPr>
      <t>收沪市私募债卖出款</t>
    </r>
    <r>
      <rPr>
        <rFont val="Times New Roman"/>
        <b val="0"/>
        <i val="0"/>
        <strike val="0"/>
        <color rgb="FF000000"/>
        <sz val="12"/>
      </rPr>
      <t>0.92</t>
    </r>
    <r>
      <rPr>
        <rFont val="宋体"/>
        <b val="0"/>
        <i val="0"/>
        <strike val="0"/>
        <color rgb="FF000000"/>
        <sz val="12"/>
      </rPr>
      <t>亿元（销交）；</t>
    </r>
    <r>
      <rPr>
        <rFont val="Times New Roman"/>
        <b val="0"/>
        <i val="0"/>
        <strike val="0"/>
        <color rgb="FF000000"/>
        <sz val="12"/>
      </rPr>
      <t xml:space="preserve"> </t>
    </r>
    <r>
      <rPr>
        <rFont val="宋体"/>
        <b val="0"/>
        <i val="0"/>
        <strike val="0"/>
        <color rgb="FF000000"/>
        <sz val="12"/>
      </rPr>
      <t>收深市私募债卖出款</t>
    </r>
    <r>
      <rPr>
        <rFont val="Times New Roman"/>
        <b val="0"/>
        <i val="0"/>
        <strike val="0"/>
        <color rgb="FF000000"/>
        <sz val="12"/>
      </rPr>
      <t>0.62</t>
    </r>
    <r>
      <rPr>
        <rFont val="宋体"/>
        <b val="0"/>
        <i val="0"/>
        <strike val="0"/>
        <color rgb="FF000000"/>
        <sz val="12"/>
      </rPr>
      <t>亿元（销交）；付深市私募债买入款0.62亿元（销交）。（银行间一级分销买入，交易所重复记账</t>
    </r>
    <r>
      <rPr>
        <rFont val="Times New Roman"/>
        <b val="0"/>
        <i val="0"/>
        <strike val="0"/>
        <color rgb="FF000000"/>
        <sz val="12"/>
      </rPr>
      <t>25</t>
    </r>
    <r>
      <rPr>
        <rFont val="宋体"/>
        <b val="0"/>
        <i val="0"/>
        <strike val="0"/>
        <color rgb="FF000000"/>
        <sz val="12"/>
      </rPr>
      <t>福瑞</t>
    </r>
    <r>
      <rPr>
        <rFont val="Times New Roman"/>
        <b val="0"/>
        <i val="0"/>
        <strike val="0"/>
        <color rgb="FF000000"/>
        <sz val="12"/>
      </rPr>
      <t>Y1</t>
    </r>
    <r>
      <rPr>
        <rFont val="宋体"/>
        <b val="0"/>
        <i val="0"/>
        <strike val="0"/>
        <color rgb="FF000000"/>
        <sz val="12"/>
      </rPr>
      <t>）</t>
    </r>
  </si>
  <si>
    <r>
      <rPr>
        <rFont val="宋体"/>
        <b val="0"/>
        <i val="0"/>
        <strike val="0"/>
        <color rgb="FF000000"/>
        <sz val="12"/>
      </rPr>
      <t>付沪市私募债买入款</t>
    </r>
    <r>
      <rPr>
        <rFont val="Times New Roman"/>
        <b val="0"/>
        <i val="0"/>
        <strike val="0"/>
        <color rgb="FF000000"/>
        <sz val="12"/>
      </rPr>
      <t>0.8</t>
    </r>
    <r>
      <rPr>
        <rFont val="宋体"/>
        <b val="0"/>
        <i val="0"/>
        <strike val="0"/>
        <color rgb="FF000000"/>
        <sz val="12"/>
      </rPr>
      <t>亿元（销交）。</t>
    </r>
  </si>
  <si>
    <r>
      <rPr>
        <rFont val="宋体"/>
        <b val="0"/>
        <i val="0"/>
        <strike val="0"/>
        <color rgb="FF000000"/>
        <sz val="12"/>
      </rPr>
      <t>收沪市私募债卖出款</t>
    </r>
    <r>
      <rPr>
        <rFont val="Times New Roman"/>
        <b val="0"/>
        <i val="0"/>
        <strike val="0"/>
        <color rgb="FF000000"/>
        <sz val="12"/>
      </rPr>
      <t>0.6</t>
    </r>
    <r>
      <rPr>
        <rFont val="宋体"/>
        <b val="0"/>
        <i val="0"/>
        <strike val="0"/>
        <color rgb="FF000000"/>
        <sz val="12"/>
      </rPr>
      <t>亿元（销交）。付沪市私募债买入款0.82亿元（销交）. 付深市私募债买入款0.5亿元（销交）</t>
    </r>
  </si>
  <si>
    <r>
      <rPr>
        <rFont val="宋体"/>
        <b val="0"/>
        <i val="0"/>
        <strike val="0"/>
        <color rgb="FF000000"/>
        <sz val="12"/>
      </rPr>
      <t>收沪市私募债卖出款</t>
    </r>
    <r>
      <rPr>
        <rFont val="Times New Roman"/>
        <b val="0"/>
        <i val="0"/>
        <strike val="0"/>
        <color rgb="FF000000"/>
        <sz val="12"/>
      </rPr>
      <t>0.71</t>
    </r>
    <r>
      <rPr>
        <rFont val="宋体"/>
        <b val="0"/>
        <i val="0"/>
        <strike val="0"/>
        <color rgb="FF000000"/>
        <sz val="12"/>
      </rPr>
      <t>亿元（销交）。付沪市私募债买入款0.71亿元（销交）。</t>
    </r>
  </si>
  <si>
    <r>
      <rPr>
        <rFont val="宋体"/>
        <b val="0"/>
        <i val="0"/>
        <strike val="0"/>
        <color rgb="FF000000"/>
        <sz val="12"/>
      </rPr>
      <t>收沪市私募债卖出款</t>
    </r>
    <r>
      <rPr>
        <rFont val="Times New Roman"/>
        <b val="0"/>
        <i val="0"/>
        <strike val="0"/>
        <color rgb="FF000000"/>
        <sz val="12"/>
      </rPr>
      <t>0.1</t>
    </r>
    <r>
      <rPr>
        <rFont val="宋体"/>
        <b val="0"/>
        <i val="0"/>
        <strike val="0"/>
        <color rgb="FF000000"/>
        <sz val="12"/>
      </rPr>
      <t>亿元（销交）付沪市私募债买入款0.2亿元（销交）；</t>
    </r>
  </si>
  <si>
    <r>
      <rPr>
        <rFont val="宋体"/>
        <b val="0"/>
        <i val="0"/>
        <strike val="0"/>
        <color rgb="FF000000"/>
        <sz val="12"/>
      </rPr>
      <t>收沪市私募债卖出款</t>
    </r>
    <r>
      <rPr>
        <rFont val="Times New Roman"/>
        <b val="0"/>
        <i val="0"/>
        <strike val="0"/>
        <color rgb="FF000000"/>
        <sz val="12"/>
      </rPr>
      <t>0.1</t>
    </r>
    <r>
      <rPr>
        <rFont val="宋体"/>
        <b val="0"/>
        <i val="0"/>
        <strike val="0"/>
        <color rgb="FF000000"/>
        <sz val="12"/>
      </rPr>
      <t>亿元（销交）;付沪市私募债买入款0.5亿元（销交）；</t>
    </r>
  </si>
  <si>
    <r>
      <rPr>
        <rFont val="Times New Roman"/>
        <b val="0"/>
        <i val="0"/>
        <strike val="0"/>
        <color rgb="FF000000"/>
        <sz val="12"/>
      </rPr>
      <t xml:space="preserve">7. </t>
    </r>
    <r>
      <rPr>
        <rFont val="宋体"/>
        <b val="0"/>
        <i val="0"/>
        <strike val="0"/>
        <color rgb="FF000000"/>
        <sz val="12"/>
      </rPr>
      <t>收沪市私募债卖出款</t>
    </r>
    <r>
      <rPr>
        <rFont val="Times New Roman"/>
        <b val="0"/>
        <i val="0"/>
        <strike val="0"/>
        <color rgb="FF000000"/>
        <sz val="12"/>
      </rPr>
      <t>0.5</t>
    </r>
    <r>
      <rPr>
        <rFont val="宋体"/>
        <b val="0"/>
        <i val="0"/>
        <strike val="0"/>
        <color rgb="FF000000"/>
        <sz val="12"/>
      </rPr>
      <t>亿元（销交）。</t>
    </r>
  </si>
</sst>
</file>

<file path=xl/styles.xml><?xml version="1.0" encoding="utf-8"?>
<styleSheet xmlns="http://schemas.openxmlformats.org/spreadsheetml/2006/main">
  <numFmts count="14">
    <numFmt numFmtId="300" formatCode="0.00_ "/>
    <numFmt numFmtId="301" formatCode="0_ "/>
    <numFmt numFmtId="302" formatCode="#,##0.0000"/>
    <numFmt numFmtId="303" formatCode="m&quot;月&quot;d&quot;日&quot;;@"/>
    <numFmt numFmtId="304" formatCode="m/d;@"/>
    <numFmt numFmtId="305" formatCode="yyyy/m/d;@"/>
    <numFmt numFmtId="306" formatCode="0.0000%"/>
    <numFmt numFmtId="307" formatCode="#,##0.00_ "/>
    <numFmt numFmtId="308" formatCode="0.000%"/>
    <numFmt numFmtId="309" formatCode="yyyy&quot;年&quot;m&quot;月&quot;d&quot;日&quot;;@"/>
    <numFmt numFmtId="310" formatCode="yyyy/m/d h:mm;@"/>
    <numFmt numFmtId="311" formatCode="#,##0.00"/>
    <numFmt numFmtId="312" formatCode="0.00%"/>
    <numFmt numFmtId="313" formatCode="General"/>
  </numFmts>
  <fonts count="89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FangSong"/>
      <b val="1"/>
      <color rgb="FFFFFFFF"/>
      <sz val="12"/>
    </font>
    <font>
      <name val="FangSong"/>
      <b val="1"/>
      <color rgb="FF000000"/>
      <sz val="12"/>
    </font>
    <font>
      <b val="1"/>
      <color rgb="FFFFFFFF"/>
    </font>
    <font>
      <b val="1"/>
      <color rgb="FF000000"/>
      <sz val="10"/>
    </font>
    <font>
      <b val="1"/>
      <sz val="10"/>
    </font>
    <font>
      <color rgb="FF000000"/>
      <sz val="10"/>
    </font>
    <font>
      <sz val="10"/>
    </font>
    <font/>
    <font>
      <color rgb="FF000000"/>
    </font>
    <font>
      <sz val="9"/>
    </font>
    <font>
      <sz val="9"/>
    </font>
    <font>
      <name val="Arial"/>
    </font>
    <font/>
    <font>
      <name val="Noto Sans Display"/>
    </font>
    <font>
      <b val="1"/>
    </font>
    <font>
      <color rgb="FFFF0000"/>
      <sz val="10"/>
    </font>
    <font>
      <b val="1"/>
      <color rgb="FFFF0000"/>
      <sz val="10"/>
    </font>
    <font>
      <sz val="11"/>
    </font>
    <font>
      <color rgb="FFFF0000"/>
      <sz val="11"/>
    </font>
    <font>
      <b val="1"/>
      <sz val="18"/>
    </font>
    <font/>
    <font/>
    <font>
      <b val="1"/>
      <color rgb="FFFF0000"/>
    </font>
    <font>
      <sz val="14"/>
    </font>
    <font>
      <color rgb="FF000000"/>
      <sz val="14"/>
    </font>
    <font>
      <b val="1"/>
      <color rgb="FF000000"/>
    </font>
    <font>
      <b val="1"/>
      <color rgb="FFFFFFFF"/>
      <sz val="12"/>
    </font>
    <font>
      <b val="1"/>
      <color rgb="FF000000"/>
      <sz val="12"/>
    </font>
    <font>
      <color rgb="FF000000"/>
      <sz val="10"/>
    </font>
    <font>
      <sz val="10"/>
    </font>
    <font>
      <color rgb="FF000000"/>
    </font>
    <font>
      <b val="1"/>
    </font>
    <font/>
    <font>
      <name val="FangSong"/>
      <color rgb="FF000000"/>
    </font>
    <font>
      <name val="Times New Roman"/>
      <b val="1"/>
      <sz val="18"/>
    </font>
    <font>
      <name val="Times New Roman"/>
      <sz val="12"/>
    </font>
    <font>
      <name val="宋体"/>
      <sz val="12"/>
    </font>
    <font>
      <name val="Times New Roman"/>
      <b val="1"/>
      <sz val="12"/>
    </font>
    <font>
      <name val="Times New Roman"/>
      <sz val="10"/>
    </font>
    <font>
      <name val="宋体"/>
      <sz val="11"/>
    </font>
    <font>
      <name val="宋体"/>
    </font>
    <font>
      <name val="Times New Roman"/>
      <sz val="12"/>
    </font>
    <font>
      <name val="宋体"/>
      <color rgb="FF0000FF"/>
      <sz val="9"/>
    </font>
    <font>
      <color rgb="FF595959"/>
    </font>
    <font>
      <color rgb="FF595959"/>
    </font>
    <font>
      <color rgb="FF000000"/>
    </font>
    <font>
      <name val="SimSun"/>
      <b val="1"/>
      <color rgb="FF000000"/>
      <sz val="18"/>
    </font>
    <font>
      <name val="SimSun"/>
      <sz val="18"/>
    </font>
    <font>
      <color rgb="FFBFBFBF"/>
      <sz val="16"/>
    </font>
    <font>
      <color rgb="FFA5A5A5"/>
      <sz val="16"/>
    </font>
    <font>
      <sz val="16"/>
    </font>
    <font>
      <color rgb="FFBFBFBF"/>
    </font>
    <font>
      <color rgb="FFA5A5A5"/>
    </font>
    <font>
      <name val="KaiTi"/>
      <b val="1"/>
      <color rgb="FFFFFFFF"/>
      <sz val="16"/>
    </font>
    <font>
      <name val="Arial"/>
      <color rgb="FF000000"/>
      <sz val="10"/>
    </font>
    <font>
      <name val="Arial"/>
      <b val="1"/>
      <color rgb="FF000000"/>
      <sz val="10"/>
    </font>
    <font>
      <name val="宋体"/>
      <b val="1"/>
      <sz val="12"/>
    </font>
    <font>
      <name val="Arial"/>
      <sz val="10"/>
    </font>
    <font>
      <name val="等线"/>
      <sz val="11"/>
    </font>
    <font>
      <name val="Arial"/>
    </font>
    <font>
      <name val="Arial"/>
    </font>
    <font>
      <name val="等线"/>
      <sz val="11"/>
    </font>
    <font>
      <name val="Arial"/>
    </font>
    <font>
      <name val="Arial"/>
      <color rgb="FF000000"/>
    </font>
    <font>
      <name val="Arial"/>
      <color rgb="FFDE3C36"/>
      <sz val="10"/>
    </font>
    <font>
      <name val="Arial"/>
      <color rgb="FFDE3C36"/>
    </font>
    <font>
      <name val="Arial"/>
      <color rgb="FFFF0000"/>
    </font>
    <font>
      <name val="Arial"/>
      <color rgb="FFFF0000"/>
      <sz val="10"/>
    </font>
    <font>
      <name val="Arial"/>
      <sz val="10"/>
    </font>
    <font>
      <name val="等线"/>
      <b val="1"/>
      <color theme="1"/>
      <sz val="22"/>
    </font>
    <font>
      <name val="等线"/>
      <b val="1"/>
      <color theme="1"/>
      <sz val="11"/>
    </font>
    <font>
      <name val="等线"/>
      <charset val="134"/>
      <family val="3"/>
      <b val="1"/>
      <color rgb="FF000000"/>
      <sz val="11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b val="1"/>
      <sz val="11"/>
    </font>
    <font>
      <color rgb="FF212121"/>
      <sz val="9"/>
    </font>
    <font>
      <name val="等线"/>
      <color rgb="FF212121"/>
      <sz val="9"/>
    </font>
    <font>
      <sz val="9"/>
    </font>
    <font>
      <name val="Noto Sans Display"/>
      <sz val="10"/>
    </font>
    <font>
      <name val="Noto Sans Display"/>
      <color rgb="FF000000"/>
      <sz val="10"/>
    </font>
    <font>
      <name val="Noto Sans Display"/>
      <color rgb="FFFFFFFF"/>
      <sz val="10"/>
    </font>
    <font>
      <color rgb="FF000000"/>
      <sz val="11"/>
    </font>
    <font>
      <name val="宋体"/>
      <b val="1"/>
    </font>
    <font>
      <name val="FangSong"/>
      <sz val="16"/>
    </font>
    <font>
      <color rgb="FFDE3C36"/>
    </font>
    <font>
      <color rgb="FFFF0000"/>
    </font>
    <font>
      <name val="等线"/>
      <charset val="134"/>
      <family val="3"/>
      <sz val="11"/>
      <scheme val="minor"/>
    </font>
  </fonts>
  <fills count="76">
    <fill>
      <patternFill patternType="none"/>
    </fill>
    <fill>
      <patternFill patternType="gray125"/>
    </fill>
    <fill>
      <patternFill patternType="solid">
        <fgColor rgb="FFDE3C36"/>
      </patternFill>
    </fill>
    <fill>
      <patternFill patternType="solid">
        <fgColor rgb="FFDE3C36"/>
      </patternFill>
    </fill>
    <fill>
      <patternFill patternType="solid">
        <fgColor rgb="FFDE3C36"/>
      </patternFill>
    </fill>
    <fill>
      <patternFill patternType="solid">
        <fgColor rgb="FFDE3C36"/>
      </patternFill>
    </fill>
    <fill>
      <patternFill patternType="solid">
        <fgColor rgb="FFD8D8D8"/>
      </patternFill>
    </fill>
    <fill>
      <patternFill patternType="solid">
        <fgColor rgb="FFC00000"/>
      </patternFill>
    </fill>
    <fill>
      <patternFill patternType="solid">
        <fgColor rgb="FFF88825"/>
      </patternFill>
    </fill>
    <fill>
      <patternFill patternType="solid">
        <fgColor rgb="FF00B050"/>
      </patternFill>
    </fill>
    <fill>
      <patternFill patternType="solid">
        <fgColor rgb="FFFF9C99"/>
      </patternFill>
    </fill>
    <fill>
      <patternFill patternType="solid">
        <fgColor rgb="FFFF9C99"/>
      </patternFill>
    </fill>
    <fill>
      <patternFill patternType="solid">
        <fgColor rgb="FFFFE9E8"/>
      </patternFill>
    </fill>
    <fill>
      <patternFill patternType="solid">
        <fgColor rgb="FFFFE9E8"/>
      </patternFill>
    </fill>
    <fill>
      <patternFill patternType="solid">
        <fgColor rgb="FFFFE9E8"/>
      </patternFill>
    </fill>
    <fill/>
    <fill>
      <patternFill patternType="solid">
        <fgColor rgb="FFD8D8D8"/>
      </patternFill>
    </fill>
    <fill/>
    <fill>
      <patternFill patternType="none"/>
    </fill>
    <fill>
      <patternFill patternType="none"/>
    </fill>
    <fill/>
    <fill>
      <patternFill patternType="solid">
        <fgColor rgb="FFD8D8D8"/>
        <bgColor auto="1"/>
      </patternFill>
    </fill>
    <fill>
      <patternFill patternType="solid">
        <fgColor rgb="FF99DDFF"/>
      </patternFill>
    </fill>
    <fill>
      <patternFill patternType="solid">
        <fgColor rgb="FF00A3F5"/>
      </patternFill>
    </fill>
    <fill>
      <patternFill patternType="solid">
        <fgColor rgb="FF00A3F5"/>
      </patternFill>
    </fill>
    <fill>
      <patternFill patternType="solid">
        <fgColor rgb="FFF2F2F2"/>
      </patternFill>
    </fill>
    <fill>
      <patternFill patternType="solid">
        <fgColor rgb="FFFFE9E8"/>
      </patternFill>
    </fill>
    <fill>
      <patternFill patternType="solid">
        <fgColor rgb="FFF2F2F2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</patternFill>
    </fill>
    <fill>
      <patternFill patternType="solid">
        <fgColor rgb="FFFFFF00"/>
        <bgColor rgb="FF000000"/>
      </patternFill>
    </fill>
    <fill>
      <patternFill patternType="solid">
        <fgColor rgb="FFD9E1F4"/>
        <bgColor rgb="FF000000"/>
      </patternFill>
    </fill>
    <fill>
      <patternFill patternType="solid">
        <fgColor rgb="FF0070C0"/>
      </patternFill>
    </fill>
    <fill>
      <patternFill patternType="solid">
        <fgColor rgb="FFFFFFFF"/>
        <bgColor rgb="FF000000"/>
      </patternFill>
    </fill>
    <fill>
      <patternFill patternType="solid">
        <fgColor rgb="FFE5EFFF"/>
      </patternFill>
    </fill>
    <fill>
      <patternFill patternType="solid">
        <fgColor rgb="FFFA7D78"/>
      </patternFill>
    </fill>
    <fill>
      <patternFill patternType="solid">
        <fgColor rgb="FFFA7D78"/>
      </patternFill>
    </fill>
    <fill>
      <patternFill patternType="solid">
        <fgColor rgb="FFFFFFFF"/>
      </patternFill>
    </fill>
    <fill>
      <patternFill patternType="solid">
        <fgColor rgb="FFE5EFFF"/>
      </patternFill>
    </fill>
    <fill>
      <patternFill patternType="solid">
        <fgColor rgb="FFD9D9D9"/>
        <bgColor rgb="FF000000"/>
      </patternFill>
    </fill>
    <fill>
      <patternFill patternType="solid">
        <fgColor rgb="FF8CDDFA"/>
      </patternFill>
    </fill>
    <fill>
      <patternFill patternType="solid">
        <fgColor rgb="FF8CDDFA"/>
      </patternFill>
    </fill>
    <fill>
      <patternFill patternType="solid">
        <fgColor rgb="FFC7ECFF"/>
      </patternFill>
    </fill>
    <fill>
      <patternFill patternType="solid">
        <fgColor rgb="FFC7ECFF"/>
      </patternFill>
    </fill>
    <fill>
      <patternFill patternType="solid">
        <fgColor rgb="FFC7ECFF"/>
      </patternFill>
    </fill>
    <fill>
      <patternFill patternType="solid">
        <fgColor rgb="FF4474A0"/>
        <bgColor auto="1"/>
      </patternFill>
    </fill>
    <fill>
      <patternFill patternType="solid">
        <fgColor rgb="FF4474A0"/>
        <bgColor auto="1"/>
      </patternFill>
    </fill>
    <fill>
      <patternFill patternType="solid">
        <fgColor rgb="FFFFFF00"/>
      </patternFill>
    </fill>
    <fill>
      <patternFill patternType="solid">
        <fgColor rgb="FFF2F2F2"/>
        <bgColor rgb="FF000000"/>
      </patternFill>
    </fill>
    <fill>
      <patternFill patternType="none">
        <fgColor rgb="FF8CDDFA"/>
      </patternFill>
    </fill>
    <fill>
      <patternFill patternType="solid">
        <fgColor rgb="FFF2F2F2"/>
        <bgColor rgb="FF000000"/>
      </patternFill>
    </fill>
    <fill>
      <patternFill patternType="none">
        <fgColor rgb="FF8CDDFA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8CDDFA"/>
      </patternFill>
    </fill>
    <fill>
      <patternFill patternType="solid">
        <fgColor rgb="FFEAFAF1"/>
      </patternFill>
    </fill>
    <fill>
      <patternFill patternType="solid">
        <fgColor rgb="FFE5F6FF"/>
      </patternFill>
    </fill>
    <fill>
      <patternFill patternType="solid">
        <fgColor rgb="FFEAFAF1"/>
      </patternFill>
    </fill>
    <fill>
      <patternFill patternType="solid">
        <fgColor rgb="FFFDEBFF"/>
      </patternFill>
    </fill>
    <fill>
      <patternFill patternType="solid">
        <fgColor rgb="FFFFF3EB"/>
      </patternFill>
    </fill>
    <fill>
      <patternFill patternType="solid">
        <fgColor rgb="FFFFFFFF"/>
      </patternFill>
    </fill>
    <fill>
      <patternFill patternType="solid">
        <fgColor rgb="FFE5F6FF"/>
      </patternFill>
    </fill>
    <fill>
      <patternFill patternType="solid">
        <fgColor rgb="FFFDEBFF"/>
      </patternFill>
    </fill>
    <fill>
      <patternFill patternType="solid">
        <fgColor rgb="FFFFF3EB"/>
      </patternFill>
    </fill>
    <fill>
      <patternFill patternType="solid">
        <fgColor rgb="FF7F7F7F"/>
      </patternFill>
    </fill>
    <fill>
      <patternFill patternType="solid">
        <fgColor rgb="FF7F7F7F"/>
      </patternFill>
    </fill>
    <fill/>
    <fill>
      <patternFill patternType="none"/>
    </fill>
    <fill>
      <patternFill patternType="none"/>
    </fill>
    <fill>
      <patternFill patternType="solid">
        <fgColor rgb="FFBFBFBF"/>
      </patternFill>
    </fill>
    <fill>
      <patternFill patternType="solid">
        <fgColor rgb="FFBFBFBF"/>
      </patternFill>
    </fill>
    <fill>
      <patternFill patternType="none">
        <fgColor rgb="FFFFE9E8"/>
      </patternFill>
    </fill>
    <fill>
      <patternFill patternType="solid">
        <fgColor rgb="FFEAFAF1" theme="9" tint="0.799982"/>
        <bgColor indexed="64"/>
      </patternFill>
    </fill>
    <fill>
      <patternFill patternType="solid">
        <fgColor rgb="FFFDEBFF" theme="7" tint="0.799982"/>
        <bgColor indexed="64"/>
      </patternFill>
    </fill>
    <fill>
      <patternFill patternType="solid">
        <fgColor rgb="FFFFF3EB" theme="7" tint="0.799982"/>
        <bgColor indexed="64"/>
      </patternFill>
    </fill>
    <fill>
      <patternFill patternType="solid">
        <fgColor rgb="FFFFE9E8" theme="5" tint="0.799982"/>
        <bgColor indexed="64"/>
      </patternFill>
    </fill>
  </fills>
  <borders count="42">
    <border>
      <left/>
      <right/>
      <top/>
      <bottom/>
      <diagonal/>
    </border>
    <border/>
    <border/>
    <border diagonalUp="1" diagonalDown="1">
      <left/>
      <right/>
      <top/>
      <bottom/>
      <diagonal/>
    </border>
    <border diagonalUp="1" diagonalDown="1">
      <left/>
      <right/>
      <top/>
      <bottom/>
      <diagonal/>
    </border>
    <border/>
    <border diagonalUp="1" diagonalDown="1">
      <diagonal/>
    </border>
    <border>
      <bottom style="thin">
        <color rgb="FFDDDDDD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 diagonalUp="1" diagonalDown="1"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/>
    <border>
      <right/>
      <bottom/>
    </border>
    <border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indexed="64" rgb="FF000000"/>
      </left>
      <right style="thin">
        <color indexed="64" rgb="FF000000"/>
      </right>
      <top style="thin">
        <color indexed="64" rgb="FF000000"/>
      </top>
      <bottom style="thin">
        <color indexed="64" rgb="FF000000"/>
      </bottom>
    </border>
    <border>
      <left style="thin">
        <color indexed="64" rgb="FF000000"/>
      </left>
      <top style="thin">
        <color indexed="64" rgb="FF000000"/>
      </top>
      <bottom style="thin">
        <color indexed="64" rgb="FF000000"/>
      </bottom>
    </border>
    <border>
      <left style="thin">
        <color indexed="64" rgb="FF000000"/>
      </left>
      <right style="thin">
        <color rgb="FF000000"/>
      </right>
      <top style="thin">
        <color indexed="64" rgb="FF000000"/>
      </top>
      <bottom style="thin">
        <color indexed="64"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bottom/>
    </border>
    <border>
      <left/>
      <right/>
      <top/>
      <bottom/>
      <diagonal/>
    </border>
    <border>
      <left style="thin">
        <color indexed="64" rgb="FF000000"/>
      </left>
      <right style="thin">
        <color rgb="FF000000"/>
      </right>
      <top style="thin">
        <color indexed="64" rgb="FF000000"/>
      </top>
      <bottom style="thin">
        <color indexed="64" rgb="FF000000"/>
      </bottom>
      <diagonal/>
    </border>
    <border>
      <left style="thin">
        <color indexed="64" rgb="FF000000"/>
      </left>
      <right style="thin">
        <color indexed="64" rgb="FF000000"/>
      </right>
      <top style="thin">
        <color indexed="64" rgb="FF000000"/>
      </top>
      <bottom style="thin">
        <color indexed="64" rgb="FF000000"/>
      </bottom>
      <diagonal/>
    </border>
    <border>
      <left style="thin">
        <color rgb="FF000000"/>
      </left>
      <right style="thin">
        <color indexed="64" rgb="FF000000"/>
      </right>
      <top style="thin">
        <color indexed="64" rgb="FF000000"/>
      </top>
      <bottom style="thin">
        <color indexed="64" rgb="FF000000"/>
      </bottom>
      <diagonal/>
    </border>
  </borders>
  <cellStyleXfs>
    <xf fontId="0" fillId="0" borderId="0" xfId="0" applyNumberFormat="0" applyFont="0" applyFill="0" applyBorder="0" applyAlignment="0">
      <alignment vertical="center"/>
    </xf>
  </cellStyleXfs>
  <cellXfs count="79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 wrapText="0"/>
    </xf>
    <xf fontId="4" fillId="3" borderId="1" xfId="0">
      <alignment horizontal="center" vertical="center" wrapText="0"/>
    </xf>
    <xf fontId="3" fillId="3" borderId="1" xfId="0">
      <alignment horizontal="center" vertical="center" wrapText="0"/>
    </xf>
    <xf numFmtId="68" fontId="3" fillId="4" borderId="1" xfId="0">
      <alignment horizontal="center" vertical="center" wrapText="0"/>
    </xf>
    <xf fontId="3" fillId="5" borderId="1" xfId="0">
      <alignment horizontal="center" vertical="center" wrapText="0"/>
    </xf>
    <xf fontId="4" fillId="6" borderId="1" xfId="0">
      <alignment horizontal="center" vertical="center" wrapText="0"/>
    </xf>
    <xf numFmtId="300" fontId="3" fillId="2" borderId="1" xfId="0">
      <alignment horizontal="center" vertical="center" wrapText="0"/>
    </xf>
    <xf numFmtId="301" fontId="3" fillId="2" borderId="1" xfId="0">
      <alignment horizontal="center" vertical="center" wrapText="0"/>
    </xf>
    <xf numFmtId="62" fontId="3" fillId="2" borderId="1" xfId="0">
      <alignment horizontal="center" vertical="center" wrapText="0"/>
    </xf>
    <xf fontId="3" fillId="4" borderId="1" xfId="0">
      <alignment horizontal="center" vertical="center" wrapText="0"/>
    </xf>
    <xf numFmtId="60" fontId="3" fillId="2" borderId="1" xfId="0">
      <alignment horizontal="center" vertical="center" wrapText="0"/>
    </xf>
    <xf fontId="3" fillId="3" borderId="0" xfId="0">
      <alignment horizontal="center" vertical="center" wrapText="0"/>
    </xf>
    <xf fontId="5" fillId="7" borderId="1" xfId="0">
      <alignment horizontal="center" vertical="center" wrapText="0"/>
    </xf>
    <xf fontId="5" fillId="7" borderId="0" xfId="0">
      <alignment horizontal="center" vertical="center" wrapText="0"/>
    </xf>
    <xf fontId="5" fillId="8" borderId="1" xfId="0">
      <alignment horizontal="center" vertical="center" wrapText="0"/>
    </xf>
    <xf fontId="5" fillId="8" borderId="0" xfId="0">
      <alignment horizontal="center" vertical="center" wrapText="0"/>
    </xf>
    <xf fontId="5" fillId="9" borderId="1" xfId="0">
      <alignment horizontal="center" vertical="center" wrapText="0"/>
    </xf>
    <xf fontId="5" fillId="10" borderId="1" xfId="0">
      <alignment horizontal="center" vertical="center" wrapText="0"/>
    </xf>
    <xf fontId="5" fillId="11" borderId="1" xfId="0">
      <alignment horizontal="center" vertical="center" wrapText="0"/>
    </xf>
    <xf numFmtId="0" fontId="5" fillId="11" borderId="1" xfId="0">
      <alignment horizontal="center" vertical="center" wrapText="0"/>
    </xf>
    <xf fontId="6" fillId="12" borderId="1" xfId="0">
      <alignment horizontal="center" vertical="center" wrapText="0" justifyLastLine="0" shrinkToFit="0"/>
    </xf>
    <xf fontId="6" fillId="13" borderId="1" xfId="0">
      <alignment horizontal="center" vertical="center" wrapText="0"/>
    </xf>
    <xf numFmtId="62" fontId="6" fillId="13" borderId="2" xfId="0">
      <alignment horizontal="center" vertical="center" wrapText="0"/>
    </xf>
    <xf numFmtId="68" fontId="6" fillId="13" borderId="1" xfId="0">
      <alignment horizontal="center" vertical="center" wrapText="0"/>
    </xf>
    <xf numFmtId="300" fontId="6" fillId="13" borderId="1" xfId="0">
      <alignment horizontal="center" vertical="center" wrapText="0"/>
    </xf>
    <xf fontId="7" fillId="13" borderId="1" xfId="0">
      <alignment horizontal="center" vertical="center" wrapText="0"/>
    </xf>
    <xf numFmtId="301" fontId="7" fillId="14" borderId="1" xfId="0">
      <alignment horizontal="center" vertical="center" wrapText="0"/>
    </xf>
    <xf numFmtId="62" fontId="7" fillId="14" borderId="1" xfId="0">
      <alignment horizontal="center" vertical="center" wrapText="0"/>
    </xf>
    <xf fontId="7" fillId="14" borderId="0" xfId="0">
      <alignment horizontal="center" wrapText="0"/>
    </xf>
    <xf fontId="8" fillId="15" borderId="0" xfId="0">
      <alignment horizontal="center" vertical="center" wrapText="0"/>
    </xf>
    <xf fontId="8" fillId="0" borderId="1" xfId="0">
      <alignment horizontal="center" vertical="center" wrapText="0"/>
    </xf>
    <xf fontId="8" fillId="0" borderId="0" xfId="0">
      <alignment horizontal="center" vertical="center" wrapText="0"/>
    </xf>
    <xf fontId="9" fillId="0" borderId="1" xfId="0">
      <alignment horizontal="center" vertical="center" wrapText="0"/>
    </xf>
    <xf numFmtId="302" fontId="8" fillId="0" borderId="0" xfId="0">
      <alignment horizontal="center" vertical="center" wrapText="0"/>
    </xf>
    <xf fontId="9" fillId="0" borderId="1" xfId="0">
      <alignment horizontal="center" vertical="center" wrapText="0" justifyLastLine="0" shrinkToFit="0"/>
    </xf>
    <xf numFmtId="68" fontId="9" fillId="0" borderId="1" xfId="0">
      <alignment horizontal="center" vertical="center" wrapText="0"/>
    </xf>
    <xf numFmtId="68" fontId="10" fillId="0" borderId="0" xfId="0">
      <alignment horizontal="center" vertical="center" textRotation="0" wrapText="0"/>
    </xf>
    <xf numFmtId="68" fontId="11" fillId="0" borderId="0" xfId="0">
      <alignment horizontal="center" vertical="center" textRotation="0" wrapText="0"/>
    </xf>
    <xf fontId="12" fillId="0" borderId="0" xfId="0">
      <alignment horizontal="center" vertical="center" textRotation="0" wrapText="0" indent="0" justifyLastLine="0" shrinkToFit="0"/>
    </xf>
    <xf fontId="12" fillId="16" borderId="0" xfId="0">
      <alignment horizontal="center" vertical="center" wrapText="0"/>
    </xf>
    <xf fontId="0" fillId="0" borderId="0" xfId="0">
      <alignment horizontal="center" vertical="center" textRotation="0" wrapText="0" indent="0" justifyLastLine="0" shrinkToFit="0"/>
    </xf>
    <xf fontId="10" fillId="0" borderId="1" xfId="0">
      <alignment horizontal="center" vertical="center" textRotation="0" wrapText="0" indent="0" justifyLastLine="0" shrinkToFit="0"/>
    </xf>
    <xf numFmtId="62" fontId="10" fillId="0" borderId="0" xfId="0">
      <alignment horizontal="center" vertical="center" textRotation="0" wrapText="0"/>
    </xf>
    <xf numFmtId="303" fontId="10" fillId="0" borderId="0" xfId="0">
      <alignment horizontal="center" vertical="center" textRotation="0" wrapText="0"/>
    </xf>
    <xf numFmtId="300" fontId="0" fillId="0" borderId="0" xfId="0">
      <alignment horizontal="center" vertical="center" textRotation="0" wrapText="0" indent="0" justifyLastLine="0" shrinkToFit="0"/>
    </xf>
    <xf numFmtId="62" fontId="10" fillId="0" borderId="0" xfId="0">
      <alignment horizontal="center" vertical="center" textRotation="0" wrapText="0" indent="0" justifyLastLine="0" shrinkToFit="0"/>
    </xf>
    <xf numFmtId="301" fontId="9" fillId="17" borderId="0" xfId="0">
      <alignment horizontal="center" vertical="center" textRotation="0" wrapText="0"/>
    </xf>
    <xf numFmtId="62" fontId="10" fillId="0" borderId="1" xfId="0">
      <alignment horizontal="center" vertical="center" textRotation="0" wrapText="0"/>
    </xf>
    <xf numFmtId="62" fontId="0" fillId="0" borderId="0" xfId="0">
      <alignment horizontal="center" vertical="center" textRotation="0" wrapText="0" justifyLastLine="0" shrinkToFit="0"/>
    </xf>
    <xf fontId="11" fillId="18" borderId="1" xfId="0">
      <alignment vertical="center" wrapText="0"/>
    </xf>
    <xf fontId="8" fillId="18" borderId="1" xfId="0">
      <alignment vertical="center" wrapText="0"/>
    </xf>
    <xf fontId="10" fillId="0" borderId="0" xfId="0">
      <alignment horizontal="center" vertical="center" wrapText="0"/>
    </xf>
    <xf fontId="0" fillId="0" borderId="0" xfId="0">
      <alignment horizontal="center" vertical="center" wrapText="0"/>
    </xf>
    <xf numFmtId="62" fontId="10" fillId="17" borderId="0" xfId="0">
      <alignment horizontal="center" vertical="center" textRotation="0" wrapText="0" indent="0" justifyLastLine="0" shrinkToFit="0"/>
    </xf>
    <xf numFmtId="62" fontId="10" fillId="0" borderId="0" xfId="0">
      <alignment horizontal="center" vertical="center" textRotation="0" wrapText="0" justifyLastLine="0" shrinkToFit="0"/>
    </xf>
    <xf numFmtId="68" fontId="0" fillId="0" borderId="0" xfId="0">
      <alignment horizontal="center" vertical="center" textRotation="0" wrapText="0"/>
    </xf>
    <xf fontId="12" fillId="6" borderId="0" xfId="0">
      <alignment horizontal="center" vertical="center" wrapText="0"/>
    </xf>
    <xf numFmtId="62" fontId="0" fillId="0" borderId="0" xfId="0">
      <alignment horizontal="center" vertical="center" textRotation="0" wrapText="0"/>
    </xf>
    <xf numFmtId="303" fontId="0" fillId="0" borderId="0" xfId="0">
      <alignment horizontal="center" vertical="center" textRotation="0" wrapText="0"/>
    </xf>
    <xf numFmtId="62" fontId="0" fillId="0" borderId="0" xfId="0">
      <alignment horizontal="center" vertical="center" textRotation="0" wrapText="0" indent="0" justifyLastLine="0" shrinkToFit="0"/>
    </xf>
    <xf numFmtId="301" fontId="9" fillId="0" borderId="0" xfId="0">
      <alignment horizontal="center" vertical="center" textRotation="0" wrapText="0"/>
    </xf>
    <xf fontId="11" fillId="19" borderId="0" xfId="0">
      <alignment vertical="center" wrapText="0"/>
    </xf>
    <xf fontId="8" fillId="19" borderId="0" xfId="0">
      <alignment vertical="center" wrapText="0"/>
    </xf>
    <xf numFmtId="68" fontId="10" fillId="20" borderId="3" xfId="0">
      <alignment horizontal="center" vertical="center" textRotation="0" wrapText="0"/>
    </xf>
    <xf numFmtId="68" fontId="10" fillId="17" borderId="4" xfId="0">
      <alignment horizontal="center" vertical="center" textRotation="0" wrapText="0"/>
    </xf>
    <xf numFmtId="68" fontId="10" fillId="17" borderId="0" xfId="0">
      <alignment horizontal="center" vertical="center" textRotation="0" wrapText="0"/>
    </xf>
    <xf numFmtId="68" fontId="10" fillId="0" borderId="0" xfId="0">
      <alignment horizontal="center" vertical="center" textRotation="0" indent="0" justifyLastLine="0" shrinkToFit="0"/>
    </xf>
    <xf numFmtId="68" fontId="10" fillId="17" borderId="0" xfId="0">
      <alignment horizontal="center" vertical="center" textRotation="0" indent="0" justifyLastLine="0" shrinkToFit="0"/>
    </xf>
    <xf fontId="12" fillId="0" borderId="0" xfId="0">
      <alignment horizontal="center" vertical="center" textRotation="0"/>
    </xf>
    <xf fontId="12" fillId="21" borderId="0" xfId="0">
      <alignment horizontal="center" vertical="center"/>
    </xf>
    <xf fontId="0" fillId="0" borderId="0" xfId="0">
      <alignment horizontal="center" vertical="center" textRotation="0" indent="0" justifyLastLine="0" shrinkToFit="0"/>
    </xf>
    <xf fontId="10" fillId="0" borderId="1" xfId="0">
      <alignment horizontal="center" vertical="center" textRotation="0" indent="0" justifyLastLine="0" shrinkToFit="0"/>
    </xf>
    <xf numFmtId="62" fontId="10" fillId="0" borderId="0" xfId="0">
      <alignment horizontal="center" vertical="center" textRotation="0" indent="0" justifyLastLine="0" shrinkToFit="0"/>
    </xf>
    <xf numFmtId="303" fontId="10" fillId="0" borderId="0" xfId="0">
      <alignment horizontal="center" vertical="center" textRotation="0" indent="0" justifyLastLine="0" shrinkToFit="0"/>
    </xf>
    <xf fontId="10" fillId="0" borderId="0" xfId="0">
      <alignment horizontal="center" vertical="center" textRotation="0"/>
    </xf>
    <xf fontId="12" fillId="0" borderId="0" xfId="0">
      <alignment horizontal="center" vertical="center" textRotation="0" indent="0" justifyLastLine="0" shrinkToFit="0"/>
    </xf>
    <xf fontId="10" fillId="17" borderId="0" xfId="0">
      <alignment horizontal="center" vertical="center" textRotation="0"/>
    </xf>
    <xf numFmtId="62" fontId="10" fillId="0" borderId="1" xfId="0">
      <alignment horizontal="center" vertical="center" textRotation="0" indent="0" justifyLastLine="0" shrinkToFit="0"/>
    </xf>
    <xf numFmtId="62" fontId="0" fillId="0" borderId="0" xfId="0">
      <alignment horizontal="center" vertical="center" textRotation="0" indent="0" justifyLastLine="0" shrinkToFit="0"/>
    </xf>
    <xf numFmtId="62" fontId="10" fillId="17" borderId="0" xfId="0">
      <alignment horizontal="center" vertical="center" textRotation="0" indent="0" justifyLastLine="0" shrinkToFit="0"/>
    </xf>
    <xf fontId="10" fillId="17" borderId="1" xfId="0">
      <alignment vertical="center"/>
    </xf>
    <xf fontId="10" fillId="0" borderId="0" xfId="0">
      <alignment horizontal="center" vertical="center"/>
    </xf>
    <xf fontId="0" fillId="0" borderId="0" xfId="0">
      <alignment horizontal="center" vertical="center"/>
    </xf>
    <xf numFmtId="68" fontId="11" fillId="0" borderId="0" xfId="0">
      <alignment horizontal="center" vertical="center" textRotation="0" wrapText="1"/>
    </xf>
    <xf fontId="10" fillId="17" borderId="0" xfId="0">
      <alignment horizontal="center" vertical="center" textRotation="0" wrapText="0" indent="0" justifyLastLine="0" shrinkToFit="0"/>
    </xf>
    <xf numFmtId="68" fontId="11" fillId="20" borderId="0" xfId="0">
      <alignment horizontal="center" vertical="center" textRotation="0" wrapText="0"/>
    </xf>
    <xf fontId="10" fillId="20" borderId="3" xfId="0">
      <alignment vertical="center" wrapText="0"/>
    </xf>
    <xf numFmtId="68" fontId="10" fillId="0" borderId="0" xfId="0">
      <alignment horizontal="center" vertical="center" textRotation="0" wrapText="0" indent="0" justifyLastLine="0" shrinkToFit="0"/>
    </xf>
    <xf fontId="13" fillId="0" borderId="0" xfId="0">
      <alignment horizontal="center" vertical="center" textRotation="0" wrapText="0" indent="0" justifyLastLine="0" shrinkToFit="0"/>
    </xf>
    <xf fontId="9" fillId="0" borderId="0" xfId="0">
      <alignment vertical="center" wrapText="0"/>
    </xf>
    <xf fontId="10" fillId="0" borderId="1" xfId="0">
      <alignment horizontal="center" vertical="center" textRotation="0" wrapText="0" justifyLastLine="0" shrinkToFit="0"/>
    </xf>
    <xf numFmtId="300" fontId="10" fillId="0" borderId="0" xfId="0">
      <alignment horizontal="center" vertical="center" textRotation="0" wrapText="0" indent="0" justifyLastLine="0" shrinkToFit="0"/>
    </xf>
    <xf fontId="10" fillId="0" borderId="0" xfId="0">
      <alignment horizontal="center" vertical="center" wrapText="0" justifyLastLine="0" shrinkToFit="0"/>
    </xf>
    <xf fontId="12" fillId="0" borderId="0" xfId="0">
      <alignment horizontal="center" vertical="center" textRotation="0" wrapText="0"/>
    </xf>
    <xf numFmtId="68" fontId="10" fillId="17" borderId="0" xfId="0">
      <alignment horizontal="center" vertical="center" textRotation="0" wrapText="0" justifyLastLine="0" shrinkToFit="0"/>
    </xf>
    <xf numFmtId="68" fontId="14" fillId="17" borderId="0" xfId="0">
      <alignment horizontal="center" vertical="bottom" textRotation="0" wrapText="0"/>
    </xf>
    <xf numFmtId="62" fontId="10" fillId="0" borderId="1" xfId="0">
      <alignment horizontal="center" vertical="center" textRotation="0" wrapText="0" indent="0" justifyLastLine="0" shrinkToFit="0"/>
    </xf>
    <xf fontId="15" fillId="0" borderId="0" xfId="0">
      <alignment horizontal="center" vertical="center" wrapText="0"/>
    </xf>
    <xf numFmtId="303" fontId="10" fillId="0" borderId="0" xfId="0">
      <alignment horizontal="center" vertical="center" textRotation="0" wrapText="0" justifyLastLine="0" shrinkToFit="0"/>
    </xf>
    <xf fontId="10" fillId="0" borderId="0" xfId="0">
      <alignment vertical="center" wrapText="0"/>
    </xf>
    <xf fontId="6" fillId="14" borderId="0" xfId="0">
      <alignment horizontal="center" vertical="center" wrapText="0" justifyLastLine="0" shrinkToFit="0"/>
    </xf>
    <xf fontId="6" fillId="14" borderId="0" xfId="0">
      <alignment horizontal="center" vertical="center" wrapText="0"/>
    </xf>
    <xf numFmtId="62" fontId="6" fillId="14" borderId="0" xfId="0">
      <alignment horizontal="center" vertical="center" wrapText="0"/>
    </xf>
    <xf numFmtId="68" fontId="6" fillId="14" borderId="0" xfId="0">
      <alignment horizontal="center" vertical="center" wrapText="0" justifyLastLine="0" shrinkToFit="0"/>
    </xf>
    <xf fontId="6" fillId="14" borderId="3" xfId="0">
      <alignment horizontal="center" vertical="center" wrapText="0" justifyLastLine="0" shrinkToFit="0"/>
    </xf>
    <xf fontId="6" fillId="14" borderId="1" xfId="0">
      <alignment horizontal="center" vertical="center" wrapText="0" justifyLastLine="0" shrinkToFit="0"/>
    </xf>
    <xf fontId="7" fillId="14" borderId="0" xfId="0">
      <alignment horizontal="center" vertical="center" wrapText="0" justifyLastLine="0" shrinkToFit="0"/>
    </xf>
    <xf numFmtId="301" fontId="9" fillId="14" borderId="0" xfId="0">
      <alignment horizontal="center" vertical="center" textRotation="0" wrapText="0" justifyLastLine="0" shrinkToFit="0"/>
    </xf>
    <xf numFmtId="68" fontId="14" fillId="14" borderId="0" xfId="0">
      <alignment horizontal="center" vertical="bottom" textRotation="0" wrapText="0"/>
    </xf>
    <xf fontId="7" fillId="14" borderId="1" xfId="0">
      <alignment horizontal="center" wrapText="0" justifyLastLine="0" shrinkToFit="0"/>
    </xf>
    <xf fontId="12" fillId="0" borderId="0" xfId="0">
      <alignment horizontal="center" vertical="center" wrapText="0"/>
    </xf>
    <xf numFmtId="68" fontId="10" fillId="0" borderId="0" xfId="0">
      <alignment horizontal="center" vertical="center" textRotation="0" wrapText="0" justifyLastLine="0" shrinkToFit="0"/>
    </xf>
    <xf fontId="12" fillId="17" borderId="1" xfId="0">
      <alignment horizontal="center" vertical="center" textRotation="0" wrapText="0" indent="0" justifyLastLine="0" shrinkToFit="0"/>
    </xf>
    <xf fontId="12" fillId="16" borderId="1" xfId="0">
      <alignment horizontal="center" vertical="center" wrapText="0" justifyLastLine="0" shrinkToFit="0"/>
    </xf>
    <xf fontId="10" fillId="17" borderId="1" xfId="0">
      <alignment horizontal="center" vertical="center" textRotation="0" wrapText="0" indent="0" justifyLastLine="0" shrinkToFit="0"/>
    </xf>
    <xf fontId="10" fillId="0" borderId="0" xfId="0">
      <alignment horizontal="center" vertical="center" textRotation="0" wrapText="0"/>
    </xf>
    <xf fontId="16" fillId="0" borderId="0" xfId="0">
      <alignment vertical="center" wrapText="0"/>
    </xf>
    <xf fontId="10" fillId="0" borderId="1" xfId="0">
      <alignment horizontal="center" vertical="center" wrapText="0"/>
    </xf>
    <xf numFmtId="68" fontId="0" fillId="0" borderId="0" xfId="0">
      <alignment horizontal="center" vertical="center" textRotation="0" wrapText="0" justifyLastLine="0" shrinkToFit="0"/>
    </xf>
    <xf numFmtId="68" fontId="0" fillId="0" borderId="0" xfId="0">
      <alignment horizontal="center" vertical="center" textRotation="0" wrapText="0" indent="0" justifyLastLine="0" shrinkToFit="0"/>
    </xf>
    <xf fontId="12" fillId="6" borderId="0" xfId="0">
      <alignment horizontal="center" vertical="center" wrapText="0" justifyLastLine="0" shrinkToFit="0"/>
    </xf>
    <xf fontId="0" fillId="0" borderId="0" xfId="0">
      <alignment horizontal="center" vertical="center" textRotation="0" wrapText="0"/>
    </xf>
    <xf numFmtId="68" fontId="10" fillId="20" borderId="3" xfId="0">
      <alignment horizontal="center" vertical="center" textRotation="0" wrapText="0" justifyLastLine="0" shrinkToFit="0"/>
    </xf>
    <xf numFmtId="68" fontId="10" fillId="20" borderId="0" xfId="0">
      <alignment horizontal="center" vertical="center" textRotation="0" wrapText="0" justifyLastLine="0" shrinkToFit="0"/>
    </xf>
    <xf fontId="10" fillId="0" borderId="0" xfId="0">
      <alignment horizontal="center" vertical="center" textRotation="0" wrapText="0" justifyLastLine="0" shrinkToFit="0"/>
    </xf>
    <xf fontId="6" fillId="13" borderId="0" xfId="0">
      <alignment horizontal="center" vertical="center" wrapText="0" justifyLastLine="0" shrinkToFit="0"/>
    </xf>
    <xf fontId="6" fillId="13" borderId="1" xfId="0">
      <alignment horizontal="center" vertical="center" wrapText="0" justifyLastLine="0" shrinkToFit="0"/>
    </xf>
    <xf numFmtId="62" fontId="17" fillId="13" borderId="1" xfId="0">
      <alignment horizontal="center" vertical="center" textRotation="0" wrapText="0" justifyLastLine="0" shrinkToFit="0"/>
    </xf>
    <xf numFmtId="62" fontId="17" fillId="13" borderId="0" xfId="0">
      <alignment horizontal="center" vertical="center" textRotation="0" wrapText="0" justifyLastLine="0" shrinkToFit="0"/>
    </xf>
    <xf numFmtId="62" fontId="17" fillId="12" borderId="0" xfId="0">
      <alignment horizontal="center" vertical="center" textRotation="0" wrapText="0" justifyLastLine="0" shrinkToFit="0"/>
    </xf>
    <xf numFmtId="62" fontId="6" fillId="14" borderId="1" xfId="0">
      <alignment horizontal="center" vertical="center" wrapText="0" justifyLastLine="0" shrinkToFit="0"/>
    </xf>
    <xf numFmtId="301" fontId="6" fillId="14" borderId="0" xfId="0">
      <alignment horizontal="center" vertical="center" wrapText="0" justifyLastLine="0" shrinkToFit="0"/>
    </xf>
    <xf numFmtId="62" fontId="6" fillId="14" borderId="0" xfId="0">
      <alignment horizontal="center" vertical="center" wrapText="0" justifyLastLine="0" shrinkToFit="0"/>
    </xf>
    <xf numFmtId="62" fontId="6" fillId="14" borderId="1" xfId="0">
      <alignment horizontal="center" vertical="center" wrapText="0"/>
    </xf>
    <xf numFmtId="302" fontId="8" fillId="0" borderId="1" xfId="0">
      <alignment horizontal="center" vertical="center" wrapText="0"/>
    </xf>
    <xf numFmtId="0" fontId="10" fillId="17" borderId="0" xfId="0">
      <alignment horizontal="center" vertical="center" wrapText="0" justifyLastLine="0" shrinkToFit="0"/>
    </xf>
    <xf fontId="8" fillId="15" borderId="0" xfId="0">
      <alignment horizontal="center" vertical="center" wrapText="0" justifyLastLine="0" shrinkToFit="0"/>
    </xf>
    <xf numFmtId="62" fontId="8" fillId="15" borderId="0" xfId="0">
      <alignment horizontal="center" vertical="center" wrapText="0" justifyLastLine="0" shrinkToFit="0"/>
    </xf>
    <xf numFmtId="62" fontId="9" fillId="15" borderId="0" xfId="0">
      <alignment horizontal="center" vertical="center" wrapText="0" justifyLastLine="0" shrinkToFit="0"/>
    </xf>
    <xf numFmtId="68" fontId="8" fillId="15" borderId="0" xfId="0">
      <alignment horizontal="center" vertical="center" wrapText="0" justifyLastLine="0" shrinkToFit="0"/>
    </xf>
    <xf fontId="8" fillId="17" borderId="1" xfId="0">
      <alignment horizontal="center" vertical="center" wrapText="0" justifyLastLine="0" shrinkToFit="0"/>
    </xf>
    <xf numFmtId="0" fontId="10" fillId="17" borderId="0" xfId="0">
      <alignment horizontal="center" vertical="center" textRotation="0" wrapText="0" justifyLastLine="0" shrinkToFit="0"/>
    </xf>
    <xf numFmtId="62" fontId="10" fillId="17" borderId="0" xfId="0">
      <alignment horizontal="center" vertical="center" textRotation="0" wrapText="0" justifyLastLine="0" shrinkToFit="0"/>
    </xf>
    <xf numFmtId="62" fontId="10" fillId="15" borderId="0" xfId="0">
      <alignment horizontal="center" vertical="center" textRotation="0" wrapText="0" justifyLastLine="0" shrinkToFit="0"/>
    </xf>
    <xf numFmtId="300" fontId="8" fillId="0" borderId="1" xfId="0">
      <alignment horizontal="center" vertical="center" wrapText="0"/>
    </xf>
    <xf numFmtId="300" fontId="9" fillId="15" borderId="1" xfId="0">
      <alignment horizontal="center" vertical="center" wrapText="0" justifyLastLine="0" shrinkToFit="0"/>
    </xf>
    <xf fontId="9" fillId="17" borderId="1" xfId="0">
      <alignment horizontal="center" vertical="center" wrapText="0" justifyLastLine="0" shrinkToFit="0"/>
    </xf>
    <xf numFmtId="301" fontId="9" fillId="15" borderId="0" xfId="0">
      <alignment horizontal="center" vertical="center" wrapText="0" justifyLastLine="0" shrinkToFit="0"/>
    </xf>
    <xf fontId="9" fillId="15" borderId="0" xfId="0">
      <alignment horizontal="center" vertical="center" wrapText="0" justifyLastLine="0" shrinkToFit="0"/>
    </xf>
    <xf fontId="9" fillId="0" borderId="0" xfId="0">
      <alignment horizontal="center" vertical="center" wrapText="0" justifyLastLine="0" shrinkToFit="0"/>
    </xf>
    <xf fontId="9" fillId="17" borderId="0" xfId="0">
      <alignment horizontal="center" vertical="center" wrapText="0" justifyLastLine="0" shrinkToFit="0"/>
    </xf>
    <xf fontId="9" fillId="17" borderId="0" xfId="0">
      <alignment horizontal="center" vertical="center" wrapText="0"/>
    </xf>
    <xf fontId="8" fillId="17" borderId="0" xfId="0">
      <alignment horizontal="center" vertical="center" wrapText="0" justifyLastLine="0" shrinkToFit="0"/>
    </xf>
    <xf fontId="9" fillId="15" borderId="1" xfId="0">
      <alignment horizontal="center" vertical="center" wrapText="0" justifyLastLine="0" shrinkToFit="0"/>
    </xf>
    <xf numFmtId="62" fontId="17" fillId="14" borderId="0" xfId="0">
      <alignment horizontal="center" vertical="center" textRotation="0" wrapText="0" justifyLastLine="0" shrinkToFit="0"/>
    </xf>
    <xf numFmtId="303" fontId="6" fillId="14" borderId="1" xfId="0">
      <alignment horizontal="center" vertical="center" wrapText="0"/>
    </xf>
    <xf numFmtId="303" fontId="6" fillId="14" borderId="1" xfId="0">
      <alignment horizontal="center" vertical="center" wrapText="0" justifyLastLine="0" shrinkToFit="0"/>
    </xf>
    <xf fontId="6" fillId="13" borderId="0" xfId="0">
      <alignment horizontal="center" vertical="center" wrapText="0"/>
    </xf>
    <xf numFmtId="62" fontId="8" fillId="17" borderId="0" xfId="0">
      <alignment horizontal="center" vertical="center" wrapText="0" justifyLastLine="0" shrinkToFit="0"/>
    </xf>
    <xf numFmtId="62" fontId="9" fillId="17" borderId="0" xfId="0">
      <alignment horizontal="center" vertical="center" wrapText="0" justifyLastLine="0" shrinkToFit="0"/>
    </xf>
    <xf numFmtId="68" fontId="6" fillId="15" borderId="0" xfId="0">
      <alignment horizontal="center" vertical="center" wrapText="0" justifyLastLine="0" shrinkToFit="0"/>
    </xf>
    <xf fontId="6" fillId="0" borderId="1" xfId="0">
      <alignment horizontal="center" vertical="center" wrapText="0" justifyLastLine="0" shrinkToFit="0"/>
    </xf>
    <xf fontId="6" fillId="15" borderId="1" xfId="0">
      <alignment horizontal="center" vertical="center" wrapText="0" justifyLastLine="0" shrinkToFit="0"/>
    </xf>
    <xf fontId="9" fillId="15" borderId="1" xfId="0">
      <alignment horizontal="center" vertical="center" textRotation="0" wrapText="0" justifyLastLine="0" shrinkToFit="0"/>
    </xf>
    <xf fontId="6" fillId="19" borderId="1" xfId="0">
      <alignment horizontal="center" vertical="center" wrapText="0" justifyLastLine="0" shrinkToFit="0"/>
    </xf>
    <xf numFmtId="300" fontId="18" fillId="19" borderId="1" xfId="0">
      <alignment horizontal="center" vertical="center" wrapText="0" justifyLastLine="0" shrinkToFit="0"/>
    </xf>
    <xf fontId="9" fillId="19" borderId="1" xfId="0">
      <alignment horizontal="center" vertical="center" wrapText="0" justifyLastLine="0" shrinkToFit="0"/>
    </xf>
    <xf numFmtId="301" fontId="6" fillId="19" borderId="0" xfId="0">
      <alignment horizontal="center" vertical="center" wrapText="0" justifyLastLine="0" shrinkToFit="0"/>
    </xf>
    <xf fontId="6" fillId="19" borderId="0" xfId="0">
      <alignment horizontal="center" vertical="center" wrapText="0" justifyLastLine="0" shrinkToFit="0"/>
    </xf>
    <xf fontId="10" fillId="15" borderId="3" xfId="0">
      <alignment vertical="center" wrapText="0"/>
    </xf>
    <xf fontId="6" fillId="19" borderId="0" xfId="0">
      <alignment horizontal="center" vertical="center" wrapText="0"/>
    </xf>
    <xf numFmtId="60" fontId="6" fillId="14" borderId="0" xfId="0">
      <alignment horizontal="center" vertical="center" wrapText="0" justifyLastLine="0" shrinkToFit="0"/>
    </xf>
    <xf numFmtId="68" fontId="6" fillId="14" borderId="5" xfId="0">
      <alignment horizontal="center" vertical="center" wrapText="0" justifyLastLine="0" shrinkToFit="0"/>
    </xf>
    <xf numFmtId="0" fontId="6" fillId="14" borderId="1" xfId="0">
      <alignment horizontal="center" vertical="center" wrapText="0" justifyLastLine="0" shrinkToFit="0"/>
    </xf>
    <xf numFmtId="300" fontId="6" fillId="14" borderId="1" xfId="0">
      <alignment horizontal="center" vertical="center" wrapText="0"/>
    </xf>
    <xf numFmtId="300" fontId="19" fillId="14" borderId="1" xfId="0">
      <alignment horizontal="center" vertical="center" wrapText="0" justifyLastLine="0" shrinkToFit="0"/>
    </xf>
    <xf fontId="8" fillId="14" borderId="1" xfId="0">
      <alignment horizontal="center" vertical="center" wrapText="0" justifyLastLine="0" shrinkToFit="0"/>
    </xf>
    <xf numFmtId="60" fontId="8" fillId="14" borderId="0" xfId="0">
      <alignment horizontal="center" vertical="center" wrapText="0" justifyLastLine="0" shrinkToFit="0"/>
    </xf>
    <xf numFmtId="60" fontId="8" fillId="14" borderId="0" xfId="0">
      <alignment horizontal="center" vertical="center" wrapText="0"/>
    </xf>
    <xf numFmtId="0" fontId="20" fillId="15" borderId="0" xfId="0">
      <alignment horizontal="center" vertical="center" textRotation="0" wrapText="0" justifyLastLine="0" shrinkToFit="0"/>
    </xf>
    <xf fontId="20" fillId="15" borderId="0" xfId="0">
      <alignment horizontal="center" vertical="center" textRotation="0" wrapText="0" justifyLastLine="0" shrinkToFit="0"/>
    </xf>
    <xf numFmtId="62" fontId="11" fillId="15" borderId="0" xfId="0">
      <alignment horizontal="center" vertical="center" textRotation="0" wrapText="0" justifyLastLine="0" shrinkToFit="0"/>
    </xf>
    <xf numFmtId="68" fontId="15" fillId="0" borderId="0" xfId="0">
      <alignment horizontal="center" vertical="center" textRotation="0" wrapText="0" justifyLastLine="0" shrinkToFit="0"/>
    </xf>
    <xf fontId="12" fillId="15" borderId="1" xfId="0">
      <alignment horizontal="center" vertical="center" textRotation="0" wrapText="0" justifyLastLine="0" shrinkToFit="0"/>
    </xf>
    <xf fontId="10" fillId="15" borderId="1" xfId="0">
      <alignment horizontal="center" vertical="center" textRotation="0" wrapText="0" justifyLastLine="0" shrinkToFit="0"/>
    </xf>
    <xf numFmtId="0" fontId="20" fillId="15" borderId="1" xfId="0">
      <alignment horizontal="center" vertical="center" textRotation="0" wrapText="0" justifyLastLine="0" shrinkToFit="0"/>
    </xf>
    <xf numFmtId="62" fontId="10" fillId="15" borderId="6" xfId="0">
      <alignment horizontal="center" vertical="center" textRotation="0" wrapText="0" justifyLastLine="0" shrinkToFit="0"/>
    </xf>
    <xf numFmtId="303" fontId="18" fillId="15" borderId="1" xfId="0">
      <alignment horizontal="center" vertical="center" textRotation="0" wrapText="0" justifyLastLine="0" shrinkToFit="0"/>
    </xf>
    <xf numFmtId="300" fontId="21" fillId="15" borderId="1" xfId="0">
      <alignment horizontal="center" vertical="center" textRotation="0" wrapText="0"/>
    </xf>
    <xf numFmtId="300" fontId="21" fillId="15" borderId="1" xfId="0">
      <alignment horizontal="center" vertical="center" textRotation="0" wrapText="0" justifyLastLine="0" shrinkToFit="0"/>
    </xf>
    <xf numFmtId="301" fontId="20" fillId="15" borderId="0" xfId="0">
      <alignment horizontal="center" vertical="center" wrapText="0" justifyLastLine="0" shrinkToFit="0"/>
    </xf>
    <xf numFmtId="62" fontId="20" fillId="15" borderId="0" xfId="0">
      <alignment horizontal="center" vertical="center" wrapText="0" justifyLastLine="0" shrinkToFit="0"/>
    </xf>
    <xf numFmtId="62" fontId="10" fillId="15" borderId="1" xfId="0">
      <alignment horizontal="center" vertical="center" wrapText="0" justifyLastLine="0" shrinkToFit="0"/>
    </xf>
    <xf numFmtId="62" fontId="10" fillId="15" borderId="0" xfId="0">
      <alignment horizontal="center" vertical="center" textRotation="0" wrapText="0"/>
    </xf>
    <xf numFmtId="302" fontId="10" fillId="0" borderId="0" xfId="0">
      <alignment horizontal="center" vertical="center" wrapText="0"/>
    </xf>
    <xf fontId="8" fillId="0" borderId="0" xfId="0">
      <alignment horizontal="center" vertical="center" wrapText="0" justifyLastLine="0" shrinkToFit="0"/>
    </xf>
    <xf numFmtId="68" fontId="9" fillId="0" borderId="0" xfId="0">
      <alignment horizontal="center" vertical="center" wrapText="0" justifyLastLine="0" shrinkToFit="0"/>
    </xf>
    <xf numFmtId="300" fontId="9" fillId="0" borderId="0" xfId="0">
      <alignment horizontal="center" vertical="center" wrapText="0"/>
    </xf>
    <xf numFmtId="300" fontId="9" fillId="0" borderId="0" xfId="0">
      <alignment horizontal="center" vertical="center" wrapText="0" justifyLastLine="0" shrinkToFit="0"/>
    </xf>
    <xf numFmtId="301" fontId="9" fillId="0" borderId="0" xfId="0">
      <alignment horizontal="center" vertical="center" wrapText="0" justifyLastLine="0" shrinkToFit="0"/>
    </xf>
    <xf fontId="9" fillId="0" borderId="0" xfId="0">
      <alignment horizontal="center" vertical="center" wrapText="0"/>
    </xf>
    <xf numFmtId="62" fontId="10" fillId="0" borderId="1" xfId="0">
      <alignment horizontal="center" vertical="center" wrapText="0" justifyLastLine="0" shrinkToFit="0"/>
    </xf>
    <xf fontId="10" fillId="20" borderId="3" xfId="0">
      <alignment vertical="center" justifyLastLine="0" shrinkToFit="0"/>
    </xf>
    <xf numFmtId="62" fontId="10" fillId="0" borderId="0" xfId="0">
      <alignment horizontal="center" vertical="center" wrapText="0" justifyLastLine="0" shrinkToFit="0"/>
    </xf>
    <xf fontId="10" fillId="0" borderId="0" xfId="0">
      <alignment vertical="center" justifyLastLine="0" shrinkToFit="0"/>
    </xf>
    <xf numFmtId="62" fontId="10" fillId="0" borderId="4" xfId="0">
      <alignment horizontal="center" vertical="center" justifyLastLine="0" shrinkToFit="0"/>
    </xf>
    <xf fontId="10" fillId="0" borderId="0" xfId="0">
      <alignment vertical="center"/>
    </xf>
    <xf fontId="22" fillId="22" borderId="0" xfId="0">
      <alignment horizontal="center" vertical="center" justifyLastLine="0" shrinkToFit="0"/>
    </xf>
    <xf numFmtId="62" fontId="10" fillId="0" borderId="0" xfId="0">
      <alignment horizontal="center" vertical="center" justifyLastLine="0" shrinkToFit="0"/>
    </xf>
    <xf numFmtId="60" fontId="11" fillId="0" borderId="0" xfId="0">
      <alignment horizontal="center" vertical="center" wrapText="0" justifyLastLine="0" shrinkToFit="0"/>
    </xf>
    <xf numFmtId="60" fontId="11" fillId="0" borderId="0" xfId="0">
      <alignment horizontal="center" vertical="center" wrapText="0"/>
    </xf>
    <xf fontId="10" fillId="15" borderId="0" xfId="0">
      <alignment vertical="center" justifyLastLine="0" shrinkToFit="0"/>
    </xf>
    <xf numFmtId="60" fontId="11" fillId="15" borderId="0" xfId="0">
      <alignment horizontal="center" vertical="center" wrapText="0" justifyLastLine="0" shrinkToFit="0"/>
    </xf>
    <xf numFmtId="60" fontId="11" fillId="15" borderId="0" xfId="0">
      <alignment horizontal="center" vertical="center" wrapText="0"/>
    </xf>
    <xf fontId="10" fillId="15" borderId="0" xfId="0">
      <alignment vertical="center"/>
    </xf>
    <xf fontId="23" fillId="20" borderId="3" xfId="0">
      <alignment vertical="center"/>
    </xf>
    <xf fontId="10" fillId="20" borderId="3" xfId="0">
      <alignment vertical="center"/>
    </xf>
    <xf numFmtId="62" fontId="10" fillId="0" borderId="0" xfId="0">
      <alignment horizontal="center" vertical="center"/>
    </xf>
    <xf fontId="22" fillId="22" borderId="0" xfId="0">
      <alignment horizontal="center" vertical="center"/>
    </xf>
    <xf fontId="0" fillId="0" borderId="0" xfId="0">
      <alignment vertical="center"/>
    </xf>
    <xf fontId="11" fillId="0" borderId="0" xfId="0">
      <alignment horizontal="center" vertical="center" wrapText="0"/>
    </xf>
    <xf numFmtId="0" fontId="11" fillId="0" borderId="0" xfId="0">
      <alignment horizontal="center" vertical="center" wrapText="0"/>
    </xf>
    <xf fontId="24" fillId="0" borderId="0" xfId="0">
      <alignment horizontal="center" vertical="center" wrapText="0" justifyLastLine="0" shrinkToFit="0"/>
    </xf>
    <xf fontId="24" fillId="0" borderId="0" xfId="0">
      <alignment horizontal="center" vertical="center" wrapText="0"/>
    </xf>
    <xf fontId="25" fillId="17" borderId="3" xfId="0">
      <alignment horizontal="left" vertical="center" wrapText="0"/>
    </xf>
    <xf fontId="26" fillId="17" borderId="3" xfId="0">
      <alignment horizontal="center" vertical="center" wrapText="0"/>
    </xf>
    <xf numFmtId="62" fontId="27" fillId="17" borderId="2" xfId="0">
      <alignment horizontal="center" vertical="center" wrapText="0"/>
    </xf>
    <xf numFmtId="62" fontId="26" fillId="17" borderId="2" xfId="0">
      <alignment horizontal="center" vertical="center" wrapText="0"/>
    </xf>
    <xf numFmtId="68" fontId="26" fillId="17" borderId="1" xfId="0">
      <alignment horizontal="center" vertical="center" wrapText="0"/>
    </xf>
    <xf fontId="26" fillId="20" borderId="3" xfId="0">
      <alignment horizontal="center" vertical="center" wrapText="0"/>
    </xf>
    <xf fontId="26" fillId="0" borderId="0" xfId="0">
      <alignment horizontal="center" wrapText="0"/>
    </xf>
    <xf numFmtId="300" fontId="10" fillId="0" borderId="0" xfId="0">
      <alignment horizontal="center" vertical="center" wrapText="0"/>
    </xf>
    <xf numFmtId="301" fontId="9" fillId="15" borderId="0" xfId="0">
      <alignment horizontal="center" vertical="center" wrapText="0"/>
    </xf>
    <xf numFmtId="62" fontId="9" fillId="15" borderId="0" xfId="0">
      <alignment horizontal="center" vertical="center" wrapText="0"/>
    </xf>
    <xf fontId="11" fillId="15" borderId="0" xfId="0">
      <alignment horizontal="center" vertical="center" wrapText="0"/>
    </xf>
    <xf numFmtId="62" fontId="28" fillId="0" borderId="0" xfId="0">
      <alignment horizontal="center" vertical="center" wrapText="0"/>
    </xf>
    <xf numFmtId="62" fontId="17" fillId="0" borderId="0" xfId="0">
      <alignment horizontal="center" vertical="center" wrapText="0"/>
    </xf>
    <xf numFmtId="68" fontId="10" fillId="0" borderId="0" xfId="0">
      <alignment horizontal="center" vertical="center" wrapText="0"/>
    </xf>
    <xf fontId="17" fillId="0" borderId="0" xfId="0">
      <alignment horizontal="center" vertical="center" wrapText="0"/>
    </xf>
    <xf numFmtId="62" fontId="10" fillId="0" borderId="0" xfId="0">
      <alignment horizontal="center" vertical="center" wrapText="0"/>
    </xf>
    <xf numFmtId="304" fontId="10" fillId="0" borderId="0" xfId="0">
      <alignment horizontal="center" vertical="center" wrapText="0"/>
    </xf>
    <xf numFmtId="300" fontId="24" fillId="0" borderId="0" xfId="0">
      <alignment horizontal="center" vertical="center" wrapText="0"/>
    </xf>
    <xf numFmtId="301" fontId="8" fillId="15" borderId="0" xfId="0">
      <alignment horizontal="center" vertical="center" wrapText="0"/>
    </xf>
    <xf numFmtId="62" fontId="8" fillId="15" borderId="0" xfId="0">
      <alignment horizontal="center" vertical="center" wrapText="0"/>
    </xf>
    <xf fontId="29" fillId="23" borderId="1" xfId="0">
      <alignment horizontal="center" vertical="center" wrapText="0"/>
    </xf>
    <xf numFmtId="62" fontId="30" fillId="23" borderId="1" xfId="0">
      <alignment horizontal="center" vertical="center" wrapText="0"/>
    </xf>
    <xf numFmtId="62" fontId="29" fillId="23" borderId="1" xfId="0">
      <alignment horizontal="center" vertical="center" wrapText="0"/>
    </xf>
    <xf numFmtId="68" fontId="29" fillId="23" borderId="1" xfId="0">
      <alignment horizontal="center" vertical="center" wrapText="0"/>
    </xf>
    <xf fontId="29" fillId="24" borderId="0" xfId="0">
      <alignment horizontal="center" vertical="center" wrapText="0"/>
    </xf>
    <xf fontId="10" fillId="17" borderId="1" xfId="0">
      <alignment vertical="center" wrapText="0"/>
    </xf>
    <xf numFmtId="304" fontId="0" fillId="15" borderId="0" xfId="0">
      <alignment horizontal="center" vertical="center" wrapText="0"/>
    </xf>
    <xf numFmtId="300" fontId="10" fillId="15" borderId="0" xfId="0">
      <alignment horizontal="center" vertical="center" wrapText="0"/>
    </xf>
    <xf numFmtId="62" fontId="31" fillId="15" borderId="0" xfId="0">
      <alignment horizontal="center" vertical="center" wrapText="0"/>
    </xf>
    <xf numFmtId="301" fontId="11" fillId="15" borderId="0" xfId="0">
      <alignment horizontal="center" vertical="center" wrapText="0"/>
    </xf>
    <xf numFmtId="62" fontId="30" fillId="24" borderId="0" xfId="0">
      <alignment horizontal="center" vertical="center" wrapText="0"/>
    </xf>
    <xf numFmtId="62" fontId="29" fillId="24" borderId="0" xfId="0">
      <alignment horizontal="center" vertical="center" wrapText="0"/>
    </xf>
    <xf numFmtId="68" fontId="29" fillId="24" borderId="0" xfId="0">
      <alignment horizontal="center" vertical="center" wrapText="0"/>
    </xf>
    <xf fontId="10" fillId="15" borderId="0" xfId="0">
      <alignment vertical="center" wrapText="0"/>
    </xf>
    <xf numFmtId="62" fontId="32" fillId="15" borderId="0" xfId="0">
      <alignment horizontal="center" vertical="center" wrapText="0"/>
    </xf>
    <xf fontId="11" fillId="0" borderId="2" xfId="0">
      <alignment horizontal="center" vertical="center" wrapText="0"/>
    </xf>
    <xf fontId="10" fillId="0" borderId="2" xfId="0">
      <alignment horizontal="center" vertical="center" wrapText="0" justifyLastLine="0" shrinkToFit="0"/>
    </xf>
    <xf fontId="24" fillId="0" borderId="2" xfId="0">
      <alignment horizontal="center" vertical="center" wrapText="0"/>
    </xf>
    <xf numFmtId="303" fontId="10" fillId="15" borderId="1" xfId="0">
      <alignment horizontal="center" vertical="center" wrapText="0"/>
    </xf>
    <xf fontId="10" fillId="15" borderId="1" xfId="0">
      <alignment horizontal="center" vertical="center" wrapText="0"/>
    </xf>
    <xf numFmtId="62" fontId="11" fillId="15" borderId="2" xfId="0">
      <alignment horizontal="center" vertical="center" wrapText="0"/>
    </xf>
    <xf numFmtId="62" fontId="10" fillId="15" borderId="2" xfId="0">
      <alignment horizontal="center" vertical="center" wrapText="0"/>
    </xf>
    <xf numFmtId="68" fontId="10" fillId="15" borderId="1" xfId="0">
      <alignment horizontal="center" vertical="center" wrapText="0"/>
    </xf>
    <xf numFmtId="62" fontId="10" fillId="15" borderId="1" xfId="0">
      <alignment horizontal="center" vertical="center" wrapText="0"/>
    </xf>
    <xf numFmtId="62" fontId="17" fillId="15" borderId="1" xfId="0">
      <alignment horizontal="center" vertical="center" wrapText="0"/>
    </xf>
    <xf fontId="10" fillId="15" borderId="1" xfId="0">
      <alignment vertical="center" wrapText="0"/>
    </xf>
    <xf fontId="0" fillId="15" borderId="0" xfId="0">
      <alignment horizontal="center" vertical="center" wrapText="0"/>
    </xf>
    <xf numFmtId="300" fontId="10" fillId="15" borderId="1" xfId="0">
      <alignment horizontal="center" vertical="center" wrapText="0"/>
    </xf>
    <xf numFmtId="300" fontId="10" fillId="17" borderId="1" xfId="0">
      <alignment horizontal="center" vertical="center" wrapText="0"/>
    </xf>
    <xf fontId="10" fillId="17" borderId="1" xfId="0">
      <alignment horizontal="center" vertical="center" wrapText="0"/>
    </xf>
    <xf numFmtId="62" fontId="9" fillId="17" borderId="1" xfId="0">
      <alignment horizontal="center" vertical="center" wrapText="0"/>
    </xf>
    <xf numFmtId="301" fontId="11" fillId="15" borderId="2" xfId="0">
      <alignment horizontal="center" vertical="center" wrapText="0"/>
    </xf>
    <xf fontId="11" fillId="15" borderId="2" xfId="0">
      <alignment horizontal="center" vertical="center" wrapText="0"/>
    </xf>
    <xf numFmtId="60" fontId="11" fillId="15" borderId="2" xfId="0">
      <alignment horizontal="center" vertical="center" wrapText="0"/>
    </xf>
    <xf fontId="10" fillId="0" borderId="2" xfId="0">
      <alignment horizontal="center" vertical="center" wrapText="0"/>
    </xf>
    <xf numFmtId="303" fontId="10" fillId="15" borderId="0" xfId="0">
      <alignment horizontal="center" vertical="center" wrapText="0"/>
    </xf>
    <xf fontId="10" fillId="15" borderId="0" xfId="0">
      <alignment horizontal="center" vertical="center" wrapText="0"/>
    </xf>
    <xf numFmtId="62" fontId="11" fillId="15" borderId="0" xfId="0">
      <alignment horizontal="center" vertical="center" wrapText="0"/>
    </xf>
    <xf numFmtId="62" fontId="10" fillId="15" borderId="0" xfId="0">
      <alignment horizontal="center" vertical="center" wrapText="0"/>
    </xf>
    <xf numFmtId="68" fontId="10" fillId="15" borderId="0" xfId="0">
      <alignment horizontal="center" vertical="center" wrapText="0"/>
    </xf>
    <xf numFmtId="62" fontId="17" fillId="15" borderId="0" xfId="0">
      <alignment horizontal="center" vertical="center" wrapText="0"/>
    </xf>
    <xf fontId="24" fillId="15" borderId="0" xfId="0">
      <alignment horizontal="center" vertical="center" wrapText="0"/>
    </xf>
    <xf numFmtId="300" fontId="24" fillId="15" borderId="0" xfId="0">
      <alignment horizontal="center" vertical="center" wrapText="0"/>
    </xf>
    <xf numFmtId="303" fontId="24" fillId="15" borderId="0" xfId="0">
      <alignment horizontal="center" vertical="center" wrapText="0"/>
    </xf>
    <xf numFmtId="62" fontId="33" fillId="15" borderId="0" xfId="0">
      <alignment horizontal="center" vertical="center" wrapText="0"/>
    </xf>
    <xf numFmtId="62" fontId="24" fillId="15" borderId="0" xfId="0">
      <alignment horizontal="center" vertical="center" wrapText="0"/>
    </xf>
    <xf numFmtId="68" fontId="24" fillId="15" borderId="0" xfId="0">
      <alignment horizontal="center" vertical="center" wrapText="0"/>
    </xf>
    <xf numFmtId="62" fontId="34" fillId="15" borderId="0" xfId="0">
      <alignment horizontal="center" vertical="center" wrapText="0"/>
    </xf>
    <xf numFmtId="300" fontId="24" fillId="0" borderId="5" xfId="0">
      <alignment horizontal="center" vertical="center" wrapText="0"/>
    </xf>
    <xf numFmtId="62" fontId="32" fillId="0" borderId="0" xfId="0">
      <alignment horizontal="center" vertical="center" wrapText="0"/>
    </xf>
    <xf numFmtId="301" fontId="33" fillId="0" borderId="0" xfId="0">
      <alignment horizontal="center" vertical="center" wrapText="0"/>
    </xf>
    <xf fontId="33" fillId="0" borderId="0" xfId="0">
      <alignment horizontal="center" vertical="center" wrapText="0"/>
    </xf>
    <xf numFmtId="68" fontId="0" fillId="15" borderId="0" xfId="0">
      <alignment horizontal="center" vertical="center" wrapText="0"/>
    </xf>
    <xf fontId="35" fillId="15" borderId="0" xfId="0">
      <alignment horizontal="center" vertical="center" wrapText="0"/>
    </xf>
    <xf fontId="0" fillId="0" borderId="5" xfId="0">
      <alignment horizontal="center" vertical="center" wrapText="0"/>
    </xf>
    <xf numFmtId="300" fontId="0" fillId="0" borderId="0" xfId="0">
      <alignment horizontal="center" vertical="center" wrapText="0"/>
    </xf>
    <xf numFmtId="301" fontId="32" fillId="0" borderId="0" xfId="0">
      <alignment horizontal="center" vertical="center" wrapText="0"/>
    </xf>
    <xf fontId="36" fillId="0" borderId="0" xfId="0">
      <alignment horizontal="center" vertical="center" wrapText="0"/>
    </xf>
    <xf numFmtId="62" fontId="11" fillId="0" borderId="0" xfId="0">
      <alignment horizontal="center" vertical="center" wrapText="0"/>
    </xf>
    <xf numFmtId="62" fontId="0" fillId="0" borderId="0" xfId="0">
      <alignment horizontal="center" vertical="center" wrapText="0"/>
    </xf>
    <xf numFmtId="68" fontId="0" fillId="0" borderId="0" xfId="0">
      <alignment horizontal="center" vertical="center" wrapText="0"/>
    </xf>
    <xf numFmtId="305" fontId="0" fillId="0" borderId="0" xfId="0">
      <alignment vertical="center"/>
    </xf>
    <xf numFmtId="301" fontId="31" fillId="0" borderId="0" xfId="0">
      <alignment horizontal="center" vertical="center" wrapText="0"/>
    </xf>
    <xf numFmtId="62" fontId="31" fillId="0" borderId="0" xfId="0">
      <alignment horizontal="center" vertical="center" wrapText="0"/>
    </xf>
    <xf numFmtId="60" fontId="10" fillId="0" borderId="0" xfId="0">
      <alignment horizontal="center" vertical="center" wrapText="0"/>
    </xf>
    <xf numFmtId="68" fontId="0" fillId="0" borderId="0" xfId="0">
      <alignment vertical="center" wrapText="0"/>
    </xf>
    <xf fontId="0" fillId="0" borderId="7" xfId="0">
      <alignment vertical="center" wrapText="0"/>
    </xf>
    <xf fontId="37" fillId="0" borderId="8" xfId="0">
      <alignment horizontal="center" vertical="center"/>
    </xf>
    <xf fontId="0" fillId="0" borderId="8" xfId="0">
      <alignment vertical="center"/>
    </xf>
    <xf numFmtId="306" fontId="0" fillId="0" borderId="0" xfId="0">
      <alignment horizontal="center" vertical="center"/>
    </xf>
    <xf numFmtId="306" fontId="38" fillId="25" borderId="8" xfId="0">
      <alignment horizontal="center" vertical="center"/>
    </xf>
    <xf fontId="39" fillId="0" borderId="8" xfId="0">
      <alignment horizontal="center" vertical="center" wrapText="1"/>
    </xf>
    <xf numFmtId="62" fontId="39" fillId="0" borderId="8" xfId="0">
      <alignment horizontal="center" vertical="center" wrapText="1"/>
    </xf>
    <xf numFmtId="62" fontId="39" fillId="0" borderId="8" xfId="0">
      <alignment horizontal="left" vertical="center" wrapText="1"/>
    </xf>
    <xf numFmtId="62" fontId="39" fillId="25" borderId="8" xfId="0">
      <alignment horizontal="center" vertical="center" wrapText="1"/>
    </xf>
    <xf numFmtId="62" fontId="40" fillId="25" borderId="8" xfId="0">
      <alignment horizontal="center" vertical="center"/>
    </xf>
    <xf numFmtId="62" fontId="40" fillId="14" borderId="8" xfId="0">
      <alignment horizontal="center" vertical="center" wrapText="1"/>
    </xf>
    <xf numFmtId="43" fontId="38" fillId="26" borderId="8" xfId="0">
      <alignment vertical="center"/>
    </xf>
    <xf numFmtId="62" fontId="41" fillId="12" borderId="8" xfId="0">
      <alignment vertical="center" wrapText="1"/>
    </xf>
    <xf numFmtId="62" fontId="41" fillId="14" borderId="8" xfId="0">
      <alignment horizontal="left" vertical="center" wrapText="1"/>
    </xf>
    <xf numFmtId="62" fontId="38" fillId="27" borderId="8" xfId="0">
      <alignment vertical="center"/>
    </xf>
    <xf numFmtId="62" fontId="40" fillId="27" borderId="8" xfId="0">
      <alignment vertical="center" wrapText="1"/>
    </xf>
    <xf numFmtId="62" fontId="40" fillId="13" borderId="8" xfId="0">
      <alignment horizontal="center" vertical="center" wrapText="1"/>
    </xf>
    <xf numFmtId="303" fontId="0" fillId="0" borderId="0" xfId="0">
      <alignment vertical="center"/>
    </xf>
    <xf numFmtId="306" fontId="38" fillId="27" borderId="8" xfId="0">
      <alignment horizontal="center" vertical="center"/>
    </xf>
    <xf numFmtId="72" fontId="38" fillId="28" borderId="8" xfId="0">
      <alignment horizontal="center" vertical="center"/>
    </xf>
    <xf numFmtId="43" fontId="38" fillId="0" borderId="9" xfId="0">
      <alignment horizontal="right" vertical="center" textRotation="0"/>
    </xf>
    <xf numFmtId="43" fontId="38" fillId="0" borderId="10" xfId="0">
      <alignment horizontal="right" vertical="center" textRotation="0"/>
    </xf>
    <xf numFmtId="62" fontId="0" fillId="17" borderId="8" xfId="0">
      <alignment horizontal="left" vertical="center" wrapText="1"/>
    </xf>
    <xf numFmtId="62" fontId="38" fillId="25" borderId="8" xfId="0">
      <alignment vertical="center"/>
    </xf>
    <xf numFmtId="62" fontId="40" fillId="25" borderId="11" xfId="0">
      <alignment horizontal="right" vertical="center"/>
    </xf>
    <xf fontId="10" fillId="15" borderId="3" xfId="0">
      <alignment vertical="center"/>
    </xf>
    <xf numFmtId="306" fontId="42" fillId="27" borderId="11" xfId="0">
      <alignment horizontal="center" vertical="center" wrapText="1"/>
    </xf>
    <xf numFmtId="62" fontId="40" fillId="27" borderId="11" xfId="0">
      <alignment horizontal="center" vertical="center"/>
    </xf>
    <xf numFmtId="62" fontId="10" fillId="17" borderId="3" xfId="0">
      <alignment horizontal="center" vertical="center"/>
    </xf>
    <xf numFmtId="62" fontId="40" fillId="29" borderId="8" xfId="0">
      <alignment horizontal="right" vertical="center"/>
    </xf>
    <xf numFmtId="306" fontId="42" fillId="25" borderId="12" xfId="0">
      <alignment horizontal="center" vertical="center" wrapText="1"/>
    </xf>
    <xf numFmtId="43" fontId="38" fillId="15" borderId="9" xfId="0">
      <alignment horizontal="right" vertical="center" textRotation="0"/>
    </xf>
    <xf numFmtId="43" fontId="38" fillId="15" borderId="10" xfId="0">
      <alignment horizontal="right" vertical="center" textRotation="0"/>
    </xf>
    <xf numFmtId="43" fontId="38" fillId="30" borderId="9" xfId="0">
      <alignment horizontal="right" vertical="center" textRotation="0"/>
    </xf>
    <xf fontId="39" fillId="30" borderId="8" xfId="0">
      <alignment vertical="center" wrapText="1"/>
    </xf>
    <xf fontId="39" fillId="30" borderId="12" xfId="0">
      <alignment vertical="center" wrapText="1"/>
    </xf>
    <xf fontId="39" fillId="0" borderId="12" xfId="0">
      <alignment vertical="center" wrapText="1"/>
    </xf>
    <xf fontId="43" fillId="0" borderId="13" xfId="0">
      <alignment vertical="center"/>
    </xf>
    <xf fontId="39" fillId="0" borderId="8" xfId="0">
      <alignment horizontal="left" vertical="center" wrapText="1"/>
    </xf>
    <xf fontId="39" fillId="0" borderId="12" xfId="0">
      <alignment horizontal="left" vertical="center" wrapText="1"/>
    </xf>
    <xf numFmtId="43" fontId="38" fillId="15" borderId="10" xfId="0">
      <alignment horizontal="right" vertical="center" textRotation="0" wrapText="1"/>
    </xf>
    <xf numFmtId="43" fontId="38" fillId="0" borderId="9" xfId="0">
      <alignment horizontal="right" vertical="center"/>
    </xf>
    <xf fontId="39" fillId="0" borderId="8" xfId="0">
      <alignment vertical="center"/>
    </xf>
    <xf fontId="0" fillId="0" borderId="0" xfId="0">
      <alignment horizontal="center" vertical="center" wrapText="1"/>
    </xf>
    <xf numFmtId="0" fontId="0" fillId="0" borderId="0" xfId="0">
      <alignment horizontal="center" vertical="center"/>
    </xf>
    <xf numFmtId="62" fontId="38" fillId="29" borderId="8" xfId="0">
      <alignment vertical="center"/>
    </xf>
    <xf numFmtId="62" fontId="40" fillId="29" borderId="8" xfId="0">
      <alignment horizontal="center" vertical="center"/>
    </xf>
    <xf numFmtId="0" fontId="0" fillId="0" borderId="0" xfId="0">
      <alignment horizontal="center" vertical="center" textRotation="0"/>
    </xf>
    <xf numFmtId="43" fontId="38" fillId="31" borderId="9" xfId="0">
      <alignment horizontal="right" vertical="center" textRotation="0"/>
    </xf>
    <xf numFmtId="43" fontId="38" fillId="31" borderId="10" xfId="0">
      <alignment horizontal="right" vertical="center" textRotation="0"/>
    </xf>
    <xf numFmtId="43" fontId="44" fillId="15" borderId="14" xfId="0">
      <alignment horizontal="right" vertical="center" textRotation="0"/>
    </xf>
    <xf numFmtId="43" fontId="44" fillId="15" borderId="15" xfId="0">
      <alignment horizontal="right" vertical="center" textRotation="0"/>
    </xf>
    <xf numFmtId="62" fontId="0" fillId="0" borderId="0" xfId="0">
      <alignment horizontal="center" vertical="center"/>
    </xf>
    <xf numFmtId="43" fontId="38" fillId="15" borderId="16" xfId="0">
      <alignment horizontal="right" vertical="center" textRotation="0" wrapText="1"/>
    </xf>
    <xf numFmtId="43" fontId="38" fillId="15" borderId="17" xfId="0">
      <alignment horizontal="right" vertical="center" textRotation="0"/>
    </xf>
    <xf numFmtId="43" fontId="38" fillId="15" borderId="16" xfId="0">
      <alignment horizontal="right" vertical="center" textRotation="0"/>
    </xf>
    <xf numFmtId="307" fontId="38" fillId="15" borderId="9" xfId="0">
      <alignment horizontal="right" vertical="center" textRotation="0"/>
    </xf>
    <xf numFmtId="43" fontId="38" fillId="19" borderId="9" xfId="0">
      <alignment horizontal="right" vertical="center" textRotation="0"/>
    </xf>
    <xf numFmtId="307" fontId="38" fillId="15" borderId="10" xfId="0">
      <alignment horizontal="right" vertical="center" textRotation="0"/>
    </xf>
    <xf fontId="43" fillId="0" borderId="13" xfId="0">
      <alignment vertical="center" textRotation="0"/>
    </xf>
    <xf numFmtId="62" fontId="38" fillId="19" borderId="9" xfId="0">
      <alignment horizontal="right" vertical="center" textRotation="0"/>
    </xf>
    <xf fontId="39" fillId="30" borderId="18" xfId="0">
      <alignment vertical="center" textRotation="0" wrapText="1"/>
    </xf>
    <xf numFmtId="43" fontId="38" fillId="0" borderId="10" xfId="0">
      <alignment horizontal="right" vertical="center" textRotation="0" wrapText="1"/>
    </xf>
    <xf numFmtId="62" fontId="38" fillId="0" borderId="9" xfId="0">
      <alignment horizontal="right" vertical="center" textRotation="0"/>
    </xf>
    <xf numFmtId="43" fontId="38" fillId="0" borderId="9" xfId="0">
      <alignment horizontal="right" vertical="center" textRotation="0"/>
    </xf>
    <xf numFmtId="62" fontId="0" fillId="0" borderId="8" xfId="0">
      <alignment vertical="center"/>
    </xf>
    <xf numFmtId="0" fontId="3" fillId="3" borderId="8" xfId="0">
      <alignment horizontal="center" vertical="center"/>
    </xf>
    <xf fontId="3" fillId="5" borderId="8" xfId="0">
      <alignment horizontal="center" vertical="center"/>
    </xf>
    <xf numFmtId="68" fontId="3" fillId="5" borderId="8" xfId="0">
      <alignment horizontal="center" vertical="center"/>
    </xf>
    <xf numFmtId="62" fontId="3" fillId="5" borderId="8" xfId="0">
      <alignment horizontal="center" vertical="center"/>
    </xf>
    <xf fontId="3" fillId="3" borderId="8" xfId="0">
      <alignment horizontal="center" vertical="center"/>
    </xf>
    <xf fontId="3" fillId="32" borderId="8" xfId="0">
      <alignment horizontal="center" vertical="center"/>
    </xf>
    <xf fontId="3" fillId="32" borderId="11" xfId="0">
      <alignment horizontal="center" vertical="center"/>
    </xf>
    <xf numFmtId="0" fontId="3" fillId="32" borderId="8" xfId="0">
      <alignment horizontal="center" vertical="center"/>
    </xf>
    <xf fontId="10" fillId="15" borderId="13" xfId="0">
      <alignment horizontal="center" vertical="center"/>
    </xf>
    <xf fontId="0" fillId="0" borderId="0" xfId="0">
      <alignment horizontal="center" vertical="center"/>
    </xf>
    <xf numFmtId="72" fontId="38" fillId="33" borderId="8" xfId="0">
      <alignment horizontal="center" vertical="center"/>
    </xf>
    <xf numFmtId="0" fontId="10" fillId="17" borderId="8" xfId="0">
      <alignment horizontal="center" vertical="center"/>
    </xf>
    <xf numFmtId="62" fontId="10" fillId="0" borderId="8" xfId="0">
      <alignment horizontal="center" vertical="center"/>
    </xf>
    <xf numFmtId="68" fontId="10" fillId="0" borderId="8" xfId="0">
      <alignment horizontal="center" vertical="center"/>
    </xf>
    <xf numFmtId="62" fontId="0" fillId="0" borderId="8" xfId="0">
      <alignment horizontal="center" vertical="center"/>
    </xf>
    <xf numFmtId="62" fontId="10" fillId="17" borderId="8" xfId="0">
      <alignment horizontal="center" vertical="center"/>
    </xf>
    <xf numFmtId="62" fontId="0" fillId="13" borderId="8" xfId="0">
      <alignment horizontal="center" vertical="center"/>
    </xf>
    <xf numFmtId="62" fontId="0" fillId="34" borderId="8" xfId="0">
      <alignment horizontal="center" vertical="center"/>
    </xf>
    <xf fontId="10" fillId="17" borderId="19" xfId="0">
      <alignment horizontal="center" vertical="center"/>
    </xf>
    <xf numFmtId="62" fontId="45" fillId="33" borderId="0" xfId="0">
      <alignment horizontal="right" vertical="top"/>
    </xf>
    <xf fontId="0" fillId="17" borderId="13" xfId="0">
      <alignment horizontal="center" vertical="center"/>
    </xf>
    <xf fontId="10" fillId="17" borderId="13" xfId="0">
      <alignment horizontal="center" vertical="center"/>
    </xf>
    <xf numFmtId="305" fontId="38" fillId="33" borderId="8" xfId="0">
      <alignment horizontal="center" vertical="center"/>
    </xf>
    <xf fontId="0" fillId="15" borderId="13" xfId="0">
      <alignment horizontal="center" vertical="center"/>
    </xf>
    <xf fontId="23" fillId="15" borderId="3" xfId="0">
      <alignment horizontal="center" vertical="center"/>
    </xf>
    <xf numFmtId="68" fontId="10" fillId="0" borderId="0" xfId="0">
      <alignment horizontal="center" vertical="center"/>
    </xf>
    <xf numFmtId="62" fontId="0" fillId="34" borderId="0" xfId="0">
      <alignment horizontal="center" vertical="center"/>
    </xf>
    <xf numFmtId="308" fontId="10" fillId="0" borderId="8" xfId="0">
      <alignment horizontal="center" vertical="center"/>
    </xf>
    <xf numFmtId="309" fontId="10" fillId="17" borderId="0" xfId="0">
      <alignment horizontal="center" vertical="center"/>
    </xf>
    <xf numFmtId="0" fontId="10" fillId="17" borderId="0" xfId="0">
      <alignment horizontal="center" vertical="center"/>
    </xf>
    <xf numFmtId="62" fontId="0" fillId="13" borderId="0" xfId="0">
      <alignment horizontal="center" vertical="center"/>
    </xf>
    <xf fontId="3" fillId="35" borderId="1" xfId="0">
      <alignment horizontal="center" vertical="center"/>
    </xf>
    <xf fontId="3" fillId="35" borderId="3" xfId="0">
      <alignment horizontal="center" vertical="center"/>
    </xf>
    <xf fontId="3" fillId="36" borderId="0" xfId="0">
      <alignment horizontal="center" vertical="center"/>
    </xf>
    <xf fontId="3" fillId="35" borderId="0" xfId="0">
      <alignment horizontal="center" vertical="center"/>
    </xf>
    <xf numFmtId="303" fontId="0" fillId="0" borderId="0" xfId="0">
      <alignment horizontal="center" vertical="center"/>
    </xf>
    <xf numFmtId="62" fontId="28" fillId="12" borderId="0" xfId="0">
      <alignment horizontal="center" vertical="center"/>
    </xf>
    <xf numFmtId="68" fontId="0" fillId="0" borderId="0" xfId="0">
      <alignment horizontal="center" vertical="center"/>
    </xf>
    <xf numFmtId="303" fontId="46" fillId="0" borderId="0" xfId="0">
      <alignment horizontal="center" vertical="center"/>
    </xf>
    <xf numFmtId="62" fontId="46" fillId="0" borderId="0" xfId="0">
      <alignment horizontal="center" vertical="center"/>
    </xf>
    <xf numFmtId="68" fontId="46" fillId="0" borderId="0" xfId="0">
      <alignment horizontal="center" vertical="center"/>
    </xf>
    <xf numFmtId="62" fontId="47" fillId="0" borderId="0" xfId="0">
      <alignment horizontal="center" vertical="center"/>
    </xf>
    <xf numFmtId="68" fontId="47" fillId="0" borderId="0" xfId="0">
      <alignment horizontal="center" vertical="center"/>
    </xf>
    <xf numFmtId="62" fontId="11" fillId="0" borderId="0" xfId="0">
      <alignment horizontal="center" vertical="center"/>
    </xf>
    <xf numFmtId="68" fontId="48" fillId="0" borderId="0" xfId="0">
      <alignment horizontal="center" vertical="center"/>
    </xf>
    <xf numFmtId="62" fontId="23" fillId="15" borderId="3" xfId="0">
      <alignment horizontal="center" vertical="center"/>
    </xf>
    <xf numFmtId="68" fontId="11" fillId="0" borderId="0" xfId="0">
      <alignment horizontal="center" vertical="center"/>
    </xf>
    <xf numFmtId="303" fontId="11" fillId="0" borderId="0" xfId="0">
      <alignment horizontal="center" vertical="center"/>
    </xf>
    <xf numFmtId="62" fontId="0" fillId="37" borderId="0" xfId="0">
      <alignment horizontal="center" vertical="center"/>
    </xf>
    <xf numFmtId="62" fontId="28" fillId="14" borderId="0" xfId="0">
      <alignment horizontal="center" vertical="center"/>
    </xf>
    <xf numFmtId="62" fontId="8" fillId="12" borderId="0" xfId="0">
      <alignment horizontal="center" vertical="center"/>
    </xf>
    <xf numFmtId="62" fontId="0" fillId="38" borderId="0" xfId="0">
      <alignment horizontal="center" vertical="center"/>
    </xf>
    <xf numFmtId="62" fontId="28" fillId="14" borderId="0" xfId="0">
      <alignment horizontal="center" vertical="center" justifyLastLine="0" shrinkToFit="0"/>
    </xf>
    <xf numFmtId="62" fontId="40" fillId="39" borderId="8" xfId="0">
      <alignment horizontal="right" vertical="center"/>
    </xf>
    <xf fontId="0" fillId="0" borderId="1" xfId="0">
      <alignment vertical="center"/>
    </xf>
    <xf fontId="49" fillId="40" borderId="1" xfId="0">
      <alignment horizontal="center" vertical="center"/>
    </xf>
    <xf fontId="49" fillId="41" borderId="20" xfId="0">
      <alignment horizontal="center" vertical="center"/>
    </xf>
    <xf fontId="0" fillId="0" borderId="21" xfId="0">
      <alignment vertical="center"/>
    </xf>
    <xf fontId="0" fillId="0" borderId="22" xfId="0">
      <alignment vertical="center"/>
    </xf>
    <xf fontId="50" fillId="0" borderId="1" xfId="0">
      <alignment horizontal="center" vertical="center"/>
    </xf>
    <xf fontId="50" fillId="19" borderId="1" xfId="0">
      <alignment horizontal="center" vertical="center"/>
    </xf>
    <xf fontId="50" fillId="0" borderId="0" xfId="0">
      <alignment horizontal="center" vertical="center"/>
    </xf>
    <xf fontId="50" fillId="19" borderId="0" xfId="0">
      <alignment horizontal="center" vertical="center"/>
    </xf>
    <xf fontId="26" fillId="0" borderId="0" xfId="0">
      <alignment horizontal="center" vertical="center"/>
    </xf>
    <xf fontId="51" fillId="42" borderId="8" xfId="0">
      <alignment horizontal="center" vertical="center"/>
    </xf>
    <xf fontId="52" fillId="42" borderId="20" xfId="0">
      <alignment horizontal="center" vertical="center"/>
    </xf>
    <xf fontId="52" fillId="42" borderId="8" xfId="0">
      <alignment horizontal="center" vertical="center"/>
    </xf>
    <xf fontId="53" fillId="42" borderId="8" xfId="0">
      <alignment horizontal="center" vertical="center"/>
    </xf>
    <xf fontId="53" fillId="43" borderId="8" xfId="0">
      <alignment horizontal="center" vertical="center"/>
    </xf>
    <xf fontId="0" fillId="17" borderId="13" xfId="0">
      <alignment vertical="center"/>
    </xf>
    <xf fontId="52" fillId="44" borderId="20" xfId="0">
      <alignment horizontal="center" vertical="center"/>
    </xf>
    <xf fontId="23" fillId="0" borderId="0" xfId="0">
      <alignment vertical="center"/>
    </xf>
    <xf fontId="54" fillId="0" borderId="0" xfId="0">
      <alignment horizontal="center" vertical="center"/>
    </xf>
    <xf fontId="55" fillId="0" borderId="0" xfId="0">
      <alignment horizontal="center" vertical="center"/>
    </xf>
    <xf fontId="0" fillId="0" borderId="0" xfId="0">
      <alignment vertical="center"/>
    </xf>
    <xf fontId="11" fillId="0" borderId="0" xfId="0">
      <alignment horizontal="center" vertical="center"/>
    </xf>
    <xf fontId="11" fillId="15" borderId="13" xfId="0">
      <alignment horizontal="center" vertical="center"/>
    </xf>
    <xf fontId="11" fillId="17" borderId="0" xfId="0">
      <alignment horizontal="center" vertical="center"/>
    </xf>
    <xf fontId="56" fillId="45" borderId="9" xfId="0">
      <alignment horizontal="center" vertical="center" textRotation="0" wrapText="1" indent="0" justifyLastLine="0" shrinkToFit="0"/>
    </xf>
    <xf fontId="56" fillId="45" borderId="9" xfId="0">
      <alignment horizontal="center" vertical="center" textRotation="0" wrapText="1" indent="0" justifyLastLine="0" shrinkToFit="0"/>
    </xf>
    <xf fontId="56" fillId="45" borderId="8" xfId="0">
      <alignment horizontal="center" vertical="center" textRotation="0" wrapText="1" indent="0" justifyLastLine="0" shrinkToFit="0"/>
    </xf>
    <xf fontId="56" fillId="46" borderId="8" xfId="0">
      <alignment horizontal="center" vertical="center" textRotation="0" wrapText="1" indent="0" justifyLastLine="0" shrinkToFit="0"/>
    </xf>
    <xf fontId="0" fillId="0" borderId="0" xfId="0">
      <alignment vertical="center" wrapText="1"/>
    </xf>
    <xf fontId="10" fillId="0" borderId="8" xfId="0">
      <alignment horizontal="center" vertical="center" textRotation="0" indent="0" justifyLastLine="0" shrinkToFit="0"/>
    </xf>
    <xf fontId="42" fillId="0" borderId="8" xfId="0">
      <alignment horizontal="center" vertical="bottom" textRotation="0" indent="0" justifyLastLine="0" shrinkToFit="0"/>
    </xf>
    <xf fontId="12" fillId="0" borderId="8" xfId="0">
      <alignment horizontal="center" vertical="center" textRotation="0" indent="0" justifyLastLine="0" shrinkToFit="0"/>
    </xf>
    <xf fontId="12" fillId="0" borderId="20" xfId="0">
      <alignment horizontal="center" vertical="center" textRotation="0" indent="0" justifyLastLine="0" shrinkToFit="0"/>
    </xf>
    <xf fontId="0" fillId="0" borderId="8" xfId="0">
      <alignment horizontal="center" vertical="center"/>
    </xf>
    <xf fontId="0" fillId="0" borderId="8" xfId="0">
      <alignment horizontal="center" vertical="center" textRotation="0" indent="0" justifyLastLine="0" shrinkToFit="0"/>
    </xf>
    <xf fontId="42" fillId="0" borderId="8" xfId="0">
      <alignment horizontal="center" vertical="bottom" textRotation="0" indent="0" justifyLastLine="0" shrinkToFit="0"/>
    </xf>
    <xf fontId="10" fillId="0" borderId="13" xfId="0">
      <alignment horizontal="center" vertical="center" textRotation="0" indent="0" justifyLastLine="0" shrinkToFit="0"/>
    </xf>
    <xf fontId="42" fillId="0" borderId="23" xfId="0">
      <alignment horizontal="center" vertical="bottom" textRotation="0" indent="0" justifyLastLine="0" shrinkToFit="0"/>
    </xf>
    <xf fontId="12" fillId="0" borderId="24" xfId="0">
      <alignment horizontal="center" vertical="center" textRotation="0" indent="0" justifyLastLine="0" shrinkToFit="0"/>
    </xf>
    <xf fontId="39" fillId="0" borderId="8" xfId="0">
      <alignment horizontal="center" vertical="center" textRotation="0" indent="0" justifyLastLine="0" shrinkToFit="0"/>
    </xf>
    <xf fontId="39" fillId="0" borderId="25" xfId="0">
      <alignment horizontal="center" vertical="center" textRotation="0" wrapText="1" indent="0" justifyLastLine="0" shrinkToFit="0"/>
    </xf>
    <xf fontId="39" fillId="0" borderId="26" xfId="0">
      <alignment horizontal="center" vertical="center" textRotation="0" indent="0" justifyLastLine="0" shrinkToFit="0"/>
    </xf>
    <xf fontId="12" fillId="0" borderId="20" xfId="0">
      <alignment horizontal="center" vertical="center"/>
    </xf>
    <xf fontId="39" fillId="0" borderId="26" xfId="0">
      <alignment horizontal="center" vertical="center" textRotation="0" wrapText="1" indent="0" justifyLastLine="0" shrinkToFit="0"/>
    </xf>
    <xf fontId="0" fillId="0" borderId="8" xfId="0">
      <alignment vertical="center"/>
    </xf>
    <xf fontId="39" fillId="0" borderId="8" xfId="0">
      <alignment horizontal="center" vertical="center" textRotation="0" wrapText="1" indent="0" justifyLastLine="0" shrinkToFit="0"/>
    </xf>
    <xf fontId="0" fillId="0" borderId="8" xfId="0">
      <alignment vertical="center"/>
    </xf>
    <xf fontId="0" fillId="0" borderId="0" xfId="0">
      <alignment vertical="center"/>
    </xf>
    <xf fontId="0" fillId="0" borderId="13" xfId="0">
      <alignment vertical="center"/>
    </xf>
    <xf fontId="39" fillId="0" borderId="0" xfId="0">
      <alignment horizontal="center" vertical="center" textRotation="0" wrapText="1" indent="0" justifyLastLine="0" shrinkToFit="0"/>
    </xf>
    <xf fontId="37" fillId="0" borderId="8" xfId="0">
      <alignment horizontal="center" vertical="center"/>
    </xf>
    <xf fontId="0" fillId="0" borderId="8" xfId="0">
      <alignment vertical="center"/>
    </xf>
    <xf numFmtId="306" fontId="0" fillId="0" borderId="0" xfId="0">
      <alignment horizontal="center" vertical="center"/>
    </xf>
    <xf fontId="39" fillId="0" borderId="8" xfId="0">
      <alignment horizontal="center" vertical="center" wrapText="1"/>
    </xf>
    <xf numFmtId="4" fontId="39" fillId="0" borderId="8" xfId="0">
      <alignment horizontal="center" vertical="center" wrapText="1"/>
    </xf>
    <xf numFmtId="4" fontId="39" fillId="0" borderId="8" xfId="0">
      <alignment horizontal="left" vertical="center" wrapText="1"/>
    </xf>
    <xf numFmtId="4" fontId="39" fillId="39" borderId="8" xfId="0">
      <alignment horizontal="center" vertical="center" wrapText="1"/>
    </xf>
    <xf numFmtId="4" fontId="40" fillId="39" borderId="8" xfId="0">
      <alignment horizontal="center" vertical="center"/>
    </xf>
    <xf numFmtId="43" fontId="38" fillId="13" borderId="8" xfId="0">
      <alignment vertical="center"/>
    </xf>
    <xf numFmtId="4" fontId="41" fillId="14" borderId="8" xfId="0">
      <alignment vertical="center" wrapText="1"/>
    </xf>
    <xf numFmtId="4" fontId="41" fillId="14" borderId="8" xfId="0">
      <alignment horizontal="left" vertical="center" wrapText="1"/>
    </xf>
    <xf numFmtId="4" fontId="38" fillId="13" borderId="8" xfId="0">
      <alignment vertical="center"/>
    </xf>
    <xf numFmtId="4" fontId="40" fillId="13" borderId="8" xfId="0">
      <alignment vertical="center"/>
    </xf>
    <xf numFmtId="14" fontId="38" fillId="28" borderId="8" xfId="0">
      <alignment horizontal="center" vertical="center"/>
    </xf>
    <xf numFmtId="4" fontId="38" fillId="0" borderId="8" xfId="0">
      <alignment horizontal="right" vertical="center"/>
    </xf>
    <xf numFmtId="43" fontId="39" fillId="0" borderId="8" xfId="0">
      <alignment horizontal="left" vertical="center" wrapText="1"/>
    </xf>
    <xf numFmtId="4" fontId="38" fillId="39" borderId="8" xfId="0">
      <alignment vertical="center"/>
    </xf>
    <xf numFmtId="4" fontId="40" fillId="39" borderId="8" xfId="0">
      <alignment horizontal="right" vertical="center"/>
    </xf>
    <xf numFmtId="43" fontId="39" fillId="0" borderId="12" xfId="0">
      <alignment horizontal="left" vertical="center" wrapText="1"/>
    </xf>
    <xf numFmtId="4" fontId="0" fillId="0" borderId="0" xfId="0">
      <alignment vertical="center"/>
    </xf>
    <xf numFmtId="10" fontId="0" fillId="0" borderId="0" xfId="0">
      <alignment vertical="center"/>
    </xf>
    <xf fontId="38" fillId="0" borderId="12" xfId="0">
      <alignment horizontal="left" vertical="center" wrapText="1"/>
    </xf>
    <xf fontId="39" fillId="0" borderId="12" xfId="0">
      <alignment vertical="center" wrapText="1"/>
    </xf>
    <xf numFmtId="4" fontId="38" fillId="30" borderId="8" xfId="0">
      <alignment horizontal="right" vertical="center"/>
    </xf>
    <xf fontId="39" fillId="30" borderId="12" xfId="0">
      <alignment vertical="center" wrapText="1"/>
    </xf>
    <xf fontId="38" fillId="0" borderId="12" xfId="0">
      <alignment vertical="center" wrapText="1"/>
    </xf>
    <xf fontId="38" fillId="30" borderId="12" xfId="0">
      <alignment vertical="center" wrapText="1"/>
    </xf>
    <xf numFmtId="4" fontId="39" fillId="0" borderId="8" xfId="0">
      <alignment horizontal="right" vertical="center"/>
    </xf>
    <xf numFmtId="4" fontId="38" fillId="15" borderId="17" xfId="0">
      <alignment horizontal="right" vertical="center"/>
    </xf>
    <xf numFmtId="4" fontId="38" fillId="47" borderId="8" xfId="0">
      <alignment horizontal="right" vertical="center"/>
    </xf>
    <xf fontId="38" fillId="15" borderId="12" xfId="0">
      <alignment vertical="center" wrapText="1"/>
    </xf>
    <xf fontId="39" fillId="0" borderId="12" xfId="0">
      <alignment horizontal="left" vertical="center" wrapText="1"/>
    </xf>
    <xf numFmtId="4" fontId="38" fillId="0" borderId="17" xfId="0">
      <alignment horizontal="right" vertical="center"/>
    </xf>
    <xf numFmtId="43" fontId="38" fillId="0" borderId="17" xfId="0">
      <alignment horizontal="right" vertical="center"/>
    </xf>
    <xf numFmtId="4" fontId="38" fillId="0" borderId="8" xfId="0">
      <alignment horizontal="right" vertical="center" wrapText="0"/>
    </xf>
    <xf numFmtId="43" fontId="38" fillId="0" borderId="9" xfId="0">
      <alignment horizontal="right" vertical="center"/>
    </xf>
    <xf fontId="43" fillId="0" borderId="13" xfId="0">
      <alignment vertical="center" wrapText="1"/>
    </xf>
    <xf fontId="39" fillId="0" borderId="8" xfId="0">
      <alignment vertical="center" wrapText="1"/>
    </xf>
    <xf numFmtId="2" fontId="38" fillId="0" borderId="8" xfId="0">
      <alignment horizontal="right" vertical="center"/>
    </xf>
    <xf numFmtId="43" fontId="38" fillId="30" borderId="9" xfId="0">
      <alignment horizontal="right" vertical="center"/>
    </xf>
    <xf fontId="39" fillId="0" borderId="12" xfId="0">
      <alignment vertical="center" wrapText="1"/>
    </xf>
    <xf numFmtId="306" fontId="10" fillId="0" borderId="13" xfId="0">
      <alignment horizontal="center" vertical="center"/>
    </xf>
    <xf numFmtId="43" fontId="38" fillId="47" borderId="9" xfId="0">
      <alignment horizontal="right" vertical="center"/>
    </xf>
    <xf fontId="39" fillId="30" borderId="12" xfId="0">
      <alignment vertical="center" wrapText="1"/>
    </xf>
    <xf numFmtId="0" fontId="0" fillId="0" borderId="0" xfId="0">
      <alignment vertical="center"/>
    </xf>
    <xf fontId="0" fillId="0" borderId="0" xfId="0">
      <alignment vertical="center"/>
    </xf>
    <xf numFmtId="43" fontId="38" fillId="15" borderId="9" xfId="0">
      <alignment horizontal="right" vertical="center"/>
    </xf>
    <xf numFmtId="4" fontId="0" fillId="0" borderId="0" xfId="0">
      <alignment horizontal="center" vertical="center"/>
    </xf>
    <xf numFmtId="4" fontId="0" fillId="0" borderId="8" xfId="0">
      <alignment vertical="center"/>
    </xf>
    <xf fontId="43" fillId="0" borderId="13" xfId="0">
      <alignment vertical="center"/>
    </xf>
    <xf fontId="39" fillId="30" borderId="8" xfId="0">
      <alignment vertical="center" wrapText="1"/>
    </xf>
    <xf fontId="43" fillId="30" borderId="13" xfId="0">
      <alignment vertical="center"/>
    </xf>
    <xf fontId="39" fillId="0" borderId="8" xfId="0">
      <alignment vertical="center" wrapText="1"/>
    </xf>
    <xf numFmtId="4" fontId="0" fillId="0" borderId="8" xfId="0">
      <alignment vertical="center" wrapText="0"/>
    </xf>
    <xf numFmtId="43" fontId="38" fillId="0" borderId="10" xfId="0">
      <alignment horizontal="right" vertical="center"/>
    </xf>
    <xf numFmtId="4" fontId="38" fillId="0" borderId="9" xfId="0">
      <alignment horizontal="right" vertical="center"/>
    </xf>
    <xf numFmtId="4" fontId="38" fillId="0" borderId="9" xfId="0">
      <alignment horizontal="right" vertical="center" wrapText="0"/>
    </xf>
    <xf fontId="57" fillId="18" borderId="1" xfId="0">
      <alignment horizontal="center" vertical="center" textRotation="0" wrapText="0"/>
    </xf>
    <xf fontId="57" fillId="19" borderId="1" xfId="0">
      <alignment horizontal="left" vertical="center" wrapText="0"/>
    </xf>
    <xf fontId="57" fillId="19" borderId="1" xfId="0">
      <alignment horizontal="center" vertical="center" wrapText="0"/>
    </xf>
    <xf fontId="57" fillId="18" borderId="1" xfId="0">
      <alignment horizontal="center" vertical="center" textRotation="0" wrapText="0"/>
    </xf>
    <xf fontId="57" fillId="19" borderId="2" xfId="0">
      <alignment horizontal="center" vertical="center" textRotation="0" wrapText="0"/>
    </xf>
    <xf fontId="57" fillId="19" borderId="2" xfId="0">
      <alignment horizontal="center" vertical="bottom" textRotation="0" wrapText="0"/>
    </xf>
    <xf fontId="57" fillId="18" borderId="2" xfId="0">
      <alignment horizontal="center" vertical="center" textRotation="0" wrapText="0"/>
    </xf>
    <xf fontId="57" fillId="19" borderId="1" xfId="0">
      <alignment horizontal="left" vertical="center" textRotation="0" wrapText="0"/>
    </xf>
    <xf fontId="57" fillId="19" borderId="1" xfId="0">
      <alignment horizontal="center" vertical="center" textRotation="0" wrapText="0"/>
    </xf>
    <xf numFmtId="0" fontId="57" fillId="19" borderId="1" xfId="0">
      <alignment horizontal="center" vertical="center" textRotation="0" wrapText="0"/>
    </xf>
    <xf fontId="57" fillId="18" borderId="1" xfId="0">
      <alignment horizontal="center" vertical="center" wrapText="0"/>
    </xf>
    <xf fontId="57" fillId="19" borderId="1" xfId="0">
      <alignment horizontal="center" vertical="center" wrapText="0"/>
    </xf>
    <xf fontId="58" fillId="19" borderId="2" xfId="0">
      <alignment horizontal="center" vertical="center" textRotation="0" wrapText="0"/>
    </xf>
    <xf fontId="58" fillId="18" borderId="1" xfId="0">
      <alignment horizontal="center" vertical="center" textRotation="0" wrapText="0"/>
    </xf>
    <xf fontId="59" fillId="18" borderId="13" xfId="0">
      <alignment horizontal="center" vertical="center" textRotation="0" wrapText="1"/>
    </xf>
    <xf fontId="59" fillId="19" borderId="13" xfId="0">
      <alignment horizontal="center" vertical="center" textRotation="0" wrapText="1"/>
    </xf>
    <xf fontId="60" fillId="19" borderId="0" xfId="0">
      <alignment horizontal="left" vertical="center" wrapText="0"/>
    </xf>
    <xf fontId="14" fillId="48" borderId="1" xfId="0">
      <alignment vertical="center" textRotation="0"/>
    </xf>
    <xf fontId="61" fillId="19" borderId="13" xfId="0">
      <alignment horizontal="center" vertical="center" textRotation="0"/>
    </xf>
    <xf fontId="14" fillId="19" borderId="13" xfId="0">
      <alignment vertical="bottom" textRotation="0"/>
    </xf>
    <xf fontId="14" fillId="19" borderId="13" xfId="0">
      <alignment horizontal="left" vertical="bottom" textRotation="0"/>
    </xf>
    <xf numFmtId="310" fontId="14" fillId="19" borderId="13" xfId="0">
      <alignment horizontal="left" vertical="bottom" textRotation="0"/>
    </xf>
    <xf fontId="14" fillId="18" borderId="13" xfId="0">
      <alignment vertical="bottom" textRotation="0"/>
    </xf>
    <xf fontId="62" fillId="49" borderId="0" xfId="0">
      <alignment horizontal="left" vertical="center" wrapText="0"/>
    </xf>
    <xf fontId="14" fillId="18" borderId="13" xfId="0">
      <alignment horizontal="left" vertical="bottom" textRotation="0"/>
    </xf>
    <xf fontId="57" fillId="19" borderId="0" xfId="0">
      <alignment horizontal="center" vertical="center" wrapText="0"/>
    </xf>
    <xf fontId="14" fillId="50" borderId="0" xfId="0">
      <alignment vertical="center" textRotation="0"/>
    </xf>
    <xf fontId="14" fillId="48" borderId="0" xfId="0">
      <alignment vertical="center" textRotation="0"/>
    </xf>
    <xf fontId="63" fillId="50" borderId="0" xfId="0">
      <alignment vertical="center" textRotation="0"/>
    </xf>
    <xf fontId="64" fillId="19" borderId="13" xfId="0">
      <alignment horizontal="center" vertical="center" textRotation="0"/>
    </xf>
    <xf fontId="63" fillId="19" borderId="13" xfId="0">
      <alignment vertical="bottom" textRotation="0"/>
    </xf>
    <xf fontId="63" fillId="19" borderId="13" xfId="0">
      <alignment vertical="bottom" textRotation="0"/>
    </xf>
    <xf fontId="63" fillId="19" borderId="13" xfId="0">
      <alignment horizontal="left" vertical="bottom" textRotation="0"/>
    </xf>
    <xf fontId="62" fillId="19" borderId="13" xfId="0">
      <alignment horizontal="left" vertical="bottom" textRotation="0"/>
    </xf>
    <xf fontId="63" fillId="19" borderId="13" xfId="0">
      <alignment vertical="bottom" textRotation="0"/>
    </xf>
    <xf numFmtId="310" fontId="63" fillId="19" borderId="13" xfId="0">
      <alignment horizontal="left" vertical="bottom" textRotation="0"/>
    </xf>
    <xf fontId="63" fillId="18" borderId="13" xfId="0">
      <alignment vertical="bottom" textRotation="0"/>
    </xf>
    <xf fontId="62" fillId="18" borderId="13" xfId="0">
      <alignment vertical="bottom" textRotation="0"/>
    </xf>
    <xf fontId="65" fillId="51" borderId="1" xfId="0">
      <alignment horizontal="left" vertical="center" wrapText="0"/>
    </xf>
    <xf fontId="63" fillId="50" borderId="0" xfId="0">
      <alignment vertical="center" textRotation="0"/>
    </xf>
    <xf fontId="63" fillId="19" borderId="13" xfId="0">
      <alignment vertical="bottom" textRotation="0"/>
    </xf>
    <xf fontId="62" fillId="18" borderId="13" xfId="0">
      <alignment vertical="bottom" textRotation="0"/>
    </xf>
    <xf fontId="62" fillId="18" borderId="13" xfId="0">
      <alignment horizontal="left" vertical="bottom" textRotation="0"/>
    </xf>
    <xf fontId="57" fillId="52" borderId="0" xfId="0">
      <alignment horizontal="center" vertical="center" wrapText="0"/>
    </xf>
    <xf fontId="14" fillId="49" borderId="0" xfId="0">
      <alignment horizontal="left" vertical="center" wrapText="0"/>
    </xf>
    <xf fontId="66" fillId="49" borderId="0" xfId="0">
      <alignment horizontal="center" vertical="center" wrapText="0"/>
    </xf>
    <xf fontId="57" fillId="49" borderId="0" xfId="0">
      <alignment horizontal="center" vertical="center" wrapText="0"/>
    </xf>
    <xf fontId="67" fillId="53" borderId="0" xfId="0">
      <alignment horizontal="center" vertical="center" wrapText="0"/>
    </xf>
    <xf fontId="14" fillId="51" borderId="1" xfId="0">
      <alignment horizontal="left" vertical="center" wrapText="0"/>
    </xf>
    <xf fontId="68" fillId="51" borderId="0" xfId="0">
      <alignment horizontal="center" vertical="center" wrapText="0"/>
    </xf>
    <xf fontId="67" fillId="51" borderId="0" xfId="0">
      <alignment horizontal="center" vertical="center" wrapText="0"/>
    </xf>
    <xf fontId="69" fillId="53" borderId="1" xfId="0">
      <alignment horizontal="center" vertical="center" wrapText="0"/>
    </xf>
    <xf fontId="66" fillId="49" borderId="0" xfId="0">
      <alignment horizontal="left" vertical="center" wrapText="0"/>
    </xf>
    <xf fontId="70" fillId="51" borderId="1" xfId="0">
      <alignment horizontal="center" vertical="center" wrapText="0"/>
    </xf>
    <xf fontId="57" fillId="51" borderId="1" xfId="0">
      <alignment horizontal="left" vertical="center" wrapText="0"/>
    </xf>
    <xf fontId="14" fillId="54" borderId="1" xfId="0">
      <alignment horizontal="left" vertical="center" wrapText="0"/>
    </xf>
    <xf fontId="14" fillId="54" borderId="1" xfId="0">
      <alignment horizontal="left" vertical="center" wrapText="1"/>
    </xf>
    <xf fontId="64" fillId="18" borderId="13" xfId="0">
      <alignment horizontal="center" vertical="center" textRotation="0"/>
    </xf>
    <xf fontId="63" fillId="18" borderId="13" xfId="0">
      <alignment horizontal="left" vertical="bottom" textRotation="0"/>
    </xf>
    <xf numFmtId="310" fontId="63" fillId="18" borderId="13" xfId="0">
      <alignment horizontal="left" vertical="bottom" textRotation="0"/>
    </xf>
    <xf fontId="63" fillId="18" borderId="13" xfId="0">
      <alignment vertical="bottom" textRotation="0"/>
    </xf>
    <xf fontId="62" fillId="19" borderId="13" xfId="0">
      <alignment vertical="bottom" textRotation="0"/>
    </xf>
    <xf fontId="71" fillId="18" borderId="1" xfId="0">
      <alignment horizontal="left" vertical="center" wrapText="0"/>
    </xf>
    <xf fontId="57" fillId="51" borderId="1" xfId="0">
      <alignment horizontal="left" vertical="center" wrapText="1"/>
    </xf>
    <xf fontId="63" fillId="49" borderId="0" xfId="0">
      <alignment horizontal="left" vertical="center" wrapText="0"/>
    </xf>
    <xf fontId="64" fillId="19" borderId="0" xfId="0">
      <alignment horizontal="center" vertical="center" textRotation="0"/>
    </xf>
    <xf fontId="63" fillId="19" borderId="0" xfId="0">
      <alignment vertical="bottom" textRotation="0"/>
    </xf>
    <xf fontId="63" fillId="19" borderId="0" xfId="0">
      <alignment vertical="bottom" textRotation="0"/>
    </xf>
    <xf fontId="63" fillId="19" borderId="0" xfId="0">
      <alignment horizontal="left" vertical="bottom" textRotation="0"/>
    </xf>
    <xf numFmtId="310" fontId="63" fillId="19" borderId="0" xfId="0">
      <alignment horizontal="left" vertical="bottom" textRotation="0"/>
    </xf>
    <xf fontId="63" fillId="50" borderId="0" xfId="0">
      <alignment vertical="center" textRotation="0"/>
    </xf>
    <xf fontId="57" fillId="49" borderId="0" xfId="0">
      <alignment horizontal="left" vertical="center" wrapText="0"/>
    </xf>
    <xf fontId="72" fillId="0" borderId="8" xfId="0">
      <alignment horizontal="center" vertical="center"/>
    </xf>
    <xf numFmtId="0" fontId="73" fillId="0" borderId="8" xfId="0" applyFont="1" applyBorder="1" applyAlignment="1">
      <alignment horizontal="center" vertical="center"/>
    </xf>
    <xf numFmtId="0" fontId="74" fillId="0" borderId="27" xfId="0" applyFont="1" applyBorder="1" applyAlignment="1">
      <alignment horizontal="center" vertical="center"/>
    </xf>
    <xf numFmtId="0" fontId="75" fillId="0" borderId="27" xfId="0" applyFont="1" applyBorder="1" applyAlignment="1">
      <alignment horizontal="center" vertical="center"/>
    </xf>
    <xf numFmtId="0" fontId="73" fillId="55" borderId="8" xfId="0" applyFont="1" applyFill="1" applyBorder="1" applyAlignment="1">
      <alignment horizontal="center" vertical="center"/>
    </xf>
    <xf numFmtId="0" fontId="75" fillId="56" borderId="27" xfId="0" applyFont="1" applyFill="1" applyBorder="1" applyAlignment="1">
      <alignment horizontal="center" vertical="center"/>
    </xf>
    <xf fontId="76" fillId="57" borderId="8" xfId="0">
      <alignment horizontal="center" vertical="center"/>
    </xf>
    <xf numFmtId="0" fontId="73" fillId="58" borderId="8" xfId="0" applyFont="1" applyFill="1" applyBorder="1" applyAlignment="1">
      <alignment horizontal="center" vertical="center"/>
    </xf>
    <xf numFmtId="0" fontId="75" fillId="59" borderId="27" xfId="0" applyFont="1" applyFill="1" applyBorder="1" applyAlignment="1">
      <alignment horizontal="center" vertical="center"/>
    </xf>
    <xf numFmtId="0" fontId="75" fillId="13" borderId="2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61" fillId="57" borderId="29" xfId="0" applyNumberFormat="1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58" borderId="29" xfId="0" applyNumberFormat="1" applyFill="1" applyBorder="1" applyAlignment="1">
      <alignment horizontal="center" vertical="center"/>
    </xf>
    <xf numFmtId="0" fontId="77" fillId="59" borderId="29" xfId="0" applyNumberFormat="1" applyFont="1" applyFill="1" applyBorder="1" applyAlignment="1">
      <alignment horizontal="center" vertical="center"/>
    </xf>
    <xf numFmtId="0" fontId="0" fillId="60" borderId="29" xfId="0" applyNumberFormat="1" applyFill="1" applyBorder="1" applyAlignment="1">
      <alignment horizontal="center" vertical="center"/>
    </xf>
    <xf numFmtId="0" fontId="0" fillId="61" borderId="29" xfId="0" applyNumberFormat="1" applyFill="1" applyBorder="1" applyAlignment="1">
      <alignment horizontal="center" vertical="center"/>
    </xf>
    <xf numFmtId="0" fontId="0" fillId="13" borderId="29" xfId="0" applyNumberFormat="1" applyFill="1" applyBorder="1" applyAlignment="1">
      <alignment horizontal="center" vertical="center"/>
    </xf>
    <xf numFmtId="0" fontId="13" fillId="18" borderId="29" xfId="0" applyNumberFormat="1" applyFont="1" applyFill="1" applyBorder="1" applyAlignment="1">
      <alignment horizontal="center" vertical="center" wrapText="0"/>
    </xf>
    <xf numFmtId="0" fontId="0" fillId="19" borderId="0" xfId="0" applyNumberFormat="1" applyFill="1" applyAlignment="1">
      <alignment horizontal="center" vertical="center"/>
    </xf>
    <xf numFmtId="0" fontId="11" fillId="19" borderId="8" xfId="0" applyNumberFormat="1" applyFont="1" applyFill="1" applyBorder="1" applyAlignment="1">
      <alignment horizontal="center" vertical="center"/>
    </xf>
    <xf numFmtId="0" fontId="61" fillId="57" borderId="8" xfId="0" applyNumberFormat="1" applyFont="1" applyFill="1" applyBorder="1" applyAlignment="1">
      <alignment horizontal="center" vertical="center"/>
    </xf>
    <xf numFmtId="0" fontId="61" fillId="58" borderId="8" xfId="0" applyNumberFormat="1" applyFont="1" applyFill="1" applyBorder="1" applyAlignment="1">
      <alignment horizontal="center" vertical="center"/>
    </xf>
    <xf numFmtId="0" fontId="78" fillId="59" borderId="8" xfId="0" applyNumberFormat="1" applyFont="1" applyFill="1" applyBorder="1" applyAlignment="1">
      <alignment horizontal="center" vertical="center"/>
    </xf>
    <xf numFmtId="0" fontId="0" fillId="19" borderId="8" xfId="0" applyNumberFormat="1" applyFill="1" applyBorder="1" applyAlignment="1">
      <alignment horizontal="center" vertical="center"/>
    </xf>
    <xf numFmtId="0" fontId="61" fillId="61" borderId="8" xfId="0" applyNumberFormat="1" applyFont="1" applyFill="1" applyBorder="1" applyAlignment="1">
      <alignment horizontal="center" vertical="center"/>
    </xf>
    <xf numFmtId="0" fontId="61" fillId="13" borderId="8" xfId="0" applyNumberFormat="1" applyFont="1" applyFill="1" applyBorder="1" applyAlignment="1">
      <alignment horizontal="center" vertical="center"/>
    </xf>
    <xf numFmtId="0" fontId="13" fillId="18" borderId="8" xfId="0" applyFont="1" applyFill="1" applyBorder="1" applyAlignment="1">
      <alignment horizontal="center" vertical="center" wrapText="0"/>
    </xf>
    <xf numFmtId="0" fontId="0" fillId="58" borderId="8" xfId="0" applyNumberFormat="1" applyFill="1" applyBorder="1" applyAlignment="1">
      <alignment horizontal="center" vertical="center"/>
    </xf>
    <xf numFmtId="0" fontId="77" fillId="59" borderId="8" xfId="0" applyNumberFormat="1" applyFont="1" applyFill="1" applyBorder="1" applyAlignment="1">
      <alignment horizontal="center" vertical="center"/>
    </xf>
    <xf numFmtId="0" fontId="0" fillId="18" borderId="8" xfId="0" applyNumberFormat="1" applyFill="1" applyBorder="1" applyAlignment="1">
      <alignment horizontal="center" vertical="center"/>
    </xf>
    <xf numFmtId="0" fontId="0" fillId="61" borderId="8" xfId="0" applyNumberFormat="1" applyFill="1" applyBorder="1" applyAlignment="1">
      <alignment horizontal="center" vertical="center"/>
    </xf>
    <xf numFmtId="0" fontId="0" fillId="13" borderId="8" xfId="0" applyNumberFormat="1" applyFill="1" applyBorder="1" applyAlignment="1">
      <alignment horizontal="center" vertical="center"/>
    </xf>
    <xf numFmtId="0" fontId="0" fillId="13" borderId="8" xfId="0" applyNumberFormat="1" applyFill="1" applyBorder="1" applyAlignment="1">
      <alignment horizontal="center" vertical="center"/>
    </xf>
    <xf numFmtId="0" fontId="0" fillId="18" borderId="0" xfId="0" applyNumberFormat="1" applyFill="1" applyAlignment="1">
      <alignment horizontal="center" vertical="center"/>
    </xf>
    <xf numFmtId="0" fontId="11" fillId="18" borderId="8" xfId="0" applyNumberFormat="1" applyFont="1" applyFill="1" applyBorder="1" applyAlignment="1">
      <alignment horizontal="center" vertical="center"/>
    </xf>
    <xf numFmtId="0" fontId="0" fillId="14" borderId="8" xfId="0">
      <alignment horizontal="center" vertical="center"/>
    </xf>
    <xf numFmtId="0" fontId="0" fillId="62" borderId="8" xfId="0">
      <alignment horizontal="center" vertical="center"/>
    </xf>
    <xf numFmtId="0" fontId="0" fillId="56" borderId="8" xfId="0">
      <alignment horizontal="center" vertical="center"/>
    </xf>
    <xf numFmtId="0" fontId="0" fillId="18" borderId="8" xfId="0" applyNumberFormat="1" applyFill="1" applyBorder="1" applyAlignment="1">
      <alignment horizontal="center" vertical="center"/>
    </xf>
    <xf numFmtId="0" fontId="0" fillId="18" borderId="8" xfId="0" applyFill="1" applyBorder="1" applyAlignment="1">
      <alignment horizontal="center" vertical="center"/>
    </xf>
    <xf numFmtId="0" fontId="77" fillId="63" borderId="8" xfId="0">
      <alignment horizontal="center" vertical="center"/>
    </xf>
    <xf numFmtId="0" fontId="0" fillId="61" borderId="8" xfId="0" applyNumberFormat="1" applyFill="1" applyBorder="1" applyAlignment="1">
      <alignment horizontal="center" vertical="center"/>
    </xf>
    <xf numFmtId="0" fontId="0" fillId="19" borderId="8" xfId="0">
      <alignment horizontal="center" vertical="center"/>
    </xf>
    <xf numFmtId="0" fontId="61" fillId="57" borderId="8" xfId="0">
      <alignment horizontal="center" vertical="center"/>
    </xf>
    <xf numFmtId="0" fontId="0" fillId="58" borderId="8" xfId="0">
      <alignment horizontal="center" vertical="center"/>
    </xf>
    <xf numFmtId="0" fontId="0" fillId="18" borderId="8" xfId="0">
      <alignment horizontal="center" vertical="center"/>
    </xf>
    <xf numFmtId="0" fontId="0" fillId="61" borderId="8" xfId="0">
      <alignment horizontal="center" vertical="center"/>
    </xf>
    <xf numFmtId="0" fontId="0" fillId="13" borderId="8" xfId="0">
      <alignment horizontal="center" vertical="center"/>
    </xf>
    <xf numFmtId="0" fontId="79" fillId="18" borderId="8" xfId="0" applyFont="1" applyFill="1" applyBorder="1" applyAlignment="1">
      <alignment horizontal="center" vertical="center" wrapText="0"/>
    </xf>
    <xf numFmtId="0" fontId="0" fillId="64" borderId="0" xfId="0" applyNumberFormat="1" applyFill="1" applyAlignment="1">
      <alignment horizontal="center" vertical="center"/>
    </xf>
    <xf numFmtId="0" fontId="11" fillId="64" borderId="8" xfId="0" applyNumberFormat="1" applyFont="1" applyFill="1" applyBorder="1" applyAlignment="1">
      <alignment horizontal="center" vertical="center"/>
    </xf>
    <xf numFmtId="0" fontId="0" fillId="64" borderId="8" xfId="0" applyNumberFormat="1" applyFill="1" applyBorder="1" applyAlignment="1">
      <alignment horizontal="center" vertical="center"/>
    </xf>
    <xf numFmtId="0" fontId="0" fillId="65" borderId="8" xfId="0" applyNumberFormat="1" applyFill="1" applyBorder="1" applyAlignment="1">
      <alignment horizontal="center" vertical="center"/>
    </xf>
    <xf numFmtId="0" fontId="77" fillId="64" borderId="8" xfId="0">
      <alignment horizontal="center" vertical="center"/>
    </xf>
    <xf numFmtId="0" fontId="0" fillId="65" borderId="8" xfId="0">
      <alignment horizontal="center" vertical="center"/>
    </xf>
    <xf numFmtId="0" fontId="13" fillId="65" borderId="8" xfId="0" applyFont="1" applyFill="1" applyBorder="1" applyAlignment="1">
      <alignment horizontal="center" vertical="center" wrapText="0"/>
    </xf>
    <xf fontId="0" fillId="65" borderId="0" xfId="0">
      <alignment vertical="center"/>
    </xf>
    <xf numFmtId="0" fontId="0" fillId="19" borderId="8" xfId="0">
      <alignment horizontal="center" vertical="center"/>
    </xf>
    <xf fontId="13" fillId="0" borderId="8" xfId="0">
      <alignment vertical="center" wrapText="0"/>
    </xf>
    <xf fontId="80" fillId="66" borderId="8" xfId="0">
      <alignment horizontal="center" vertical="center"/>
    </xf>
    <xf fontId="81" fillId="66" borderId="8" xfId="0">
      <alignment horizontal="center" vertical="center"/>
    </xf>
    <xf numFmtId="0" fontId="0" fillId="64" borderId="0" xfId="0">
      <alignment horizontal="center" vertical="center"/>
    </xf>
    <xf numFmtId="0" fontId="11" fillId="64" borderId="8" xfId="0">
      <alignment horizontal="center" vertical="center"/>
    </xf>
    <xf numFmtId="0" fontId="61" fillId="55" borderId="8" xfId="0" applyNumberFormat="1" applyFont="1" applyFill="1" applyBorder="1" applyAlignment="1">
      <alignment horizontal="center" vertical="center"/>
    </xf>
    <xf numFmtId="0" fontId="77" fillId="64" borderId="8" xfId="0">
      <alignment horizontal="center" vertical="center"/>
    </xf>
    <xf numFmtId="0" fontId="0" fillId="56" borderId="8" xfId="0" applyNumberFormat="1" applyFill="1" applyBorder="1" applyAlignment="1">
      <alignment horizontal="center" vertical="center"/>
    </xf>
    <xf numFmtId="0" fontId="0" fillId="14" borderId="8" xfId="0" applyNumberFormat="1" applyFill="1" applyBorder="1" applyAlignment="1">
      <alignment horizontal="center" vertical="center"/>
    </xf>
    <xf numFmtId="0" fontId="13" fillId="64" borderId="8" xfId="0" applyFont="1" applyFill="1" applyBorder="1" applyAlignment="1">
      <alignment horizontal="center" vertical="center" wrapText="0"/>
    </xf>
    <xf fontId="0" fillId="64" borderId="0" xfId="0">
      <alignment vertical="center"/>
    </xf>
    <xf numFmtId="0" fontId="0" fillId="67" borderId="0" xfId="0">
      <alignment horizontal="center" vertical="center"/>
    </xf>
    <xf numFmtId="0" fontId="11" fillId="67" borderId="8" xfId="0">
      <alignment horizontal="center" vertical="center"/>
    </xf>
    <xf numFmtId="0" fontId="0" fillId="60" borderId="0" xfId="0" applyNumberFormat="1" applyFill="1" applyAlignment="1">
      <alignment horizontal="center" vertical="center"/>
    </xf>
    <xf numFmtId="0" fontId="11" fillId="60" borderId="8" xfId="0" applyNumberFormat="1" applyFont="1" applyFill="1" applyBorder="1" applyAlignment="1">
      <alignment horizontal="center" vertical="center"/>
    </xf>
    <xf numFmtId="0" fontId="0" fillId="37" borderId="0" xfId="0" applyNumberFormat="1" applyFill="1" applyAlignment="1">
      <alignment horizontal="center" vertical="center"/>
    </xf>
    <xf numFmtId="0" fontId="11" fillId="37" borderId="8" xfId="0" applyNumberFormat="1" applyFont="1" applyFill="1" applyBorder="1" applyAlignment="1">
      <alignment horizontal="center" vertical="center"/>
    </xf>
    <xf fontId="82" fillId="66" borderId="8" xfId="0">
      <alignment horizontal="center" vertical="center"/>
    </xf>
    <xf numFmtId="0" fontId="0" fillId="18" borderId="30" xfId="0" applyNumberFormat="1" applyFill="1" applyBorder="1" applyAlignment="1">
      <alignment horizontal="center" vertical="center"/>
    </xf>
    <xf numFmtId="0" fontId="0" fillId="19" borderId="31" xfId="0" applyNumberFormat="1" applyFill="1" applyBorder="1" applyAlignment="1">
      <alignment horizontal="center" vertical="center"/>
    </xf>
    <xf numFmtId="305" fontId="0" fillId="19" borderId="31" xfId="0" applyNumberFormat="1" applyFill="1" applyBorder="1" applyAlignment="1">
      <alignment horizontal="center" vertical="center"/>
    </xf>
    <xf numFmtId="0" fontId="0" fillId="18" borderId="31" xfId="0" applyNumberFormat="1" applyFill="1" applyBorder="1" applyAlignment="1">
      <alignment horizontal="center" vertical="center"/>
    </xf>
    <xf numFmtId="0" fontId="11" fillId="19" borderId="32" xfId="0" applyNumberFormat="1" applyFont="1" applyFill="1" applyBorder="1" applyAlignment="1">
      <alignment horizontal="center" vertical="center"/>
    </xf>
    <xf numFmtId="305" fontId="0" fillId="18" borderId="31" xfId="0" applyNumberFormat="1" applyFill="1" applyBorder="1" applyAlignment="1">
      <alignment horizontal="center" vertical="center"/>
    </xf>
    <xf numFmtId="0" fontId="0" fillId="19" borderId="30" xfId="0" applyNumberFormat="1" applyFill="1" applyBorder="1" applyAlignment="1">
      <alignment horizontal="center" vertical="center"/>
    </xf>
    <xf numFmtId="0" fontId="77" fillId="59" borderId="8" xfId="0">
      <alignment horizontal="center" vertical="center"/>
    </xf>
    <xf numFmtId="0" fontId="12" fillId="18" borderId="8" xfId="0" applyFont="1" applyFill="1" applyBorder="1" applyAlignment="1">
      <alignment horizontal="center" vertical="center" wrapText="0"/>
    </xf>
    <xf numFmtId="0" fontId="0" fillId="18" borderId="8" xfId="0" applyNumberFormat="1" applyFill="1" applyBorder="1" applyAlignment="1">
      <alignment horizontal="center" vertical="center" wrapText="0"/>
    </xf>
    <xf numFmtId="305" fontId="0" fillId="18" borderId="8" xfId="0" applyNumberFormat="1" applyFill="1" applyBorder="1" applyAlignment="1">
      <alignment horizontal="center" vertical="center"/>
    </xf>
    <xf numFmtId="0" fontId="83" fillId="17" borderId="13" xfId="0">
      <alignment horizontal="center" vertical="center"/>
    </xf>
    <xf numFmtId="0" fontId="0" fillId="59" borderId="8" xfId="0" applyNumberFormat="1" applyFill="1" applyBorder="1" applyAlignment="1">
      <alignment horizontal="center" vertical="center"/>
    </xf>
    <xf numFmtId="0" fontId="81" fillId="17" borderId="13" xfId="0">
      <alignment horizontal="center" vertical="center"/>
    </xf>
    <xf numFmtId="0" fontId="0" fillId="57" borderId="8" xfId="0" applyNumberFormat="1" applyFill="1" applyBorder="1" applyAlignment="1">
      <alignment horizontal="center" vertical="center"/>
    </xf>
    <xf numFmtId="0" fontId="0" fillId="68" borderId="8" xfId="0" applyNumberFormat="1" applyFill="1" applyBorder="1" applyAlignment="1">
      <alignment horizontal="center" vertical="center"/>
    </xf>
    <xf numFmtId="0" fontId="0" fillId="57" borderId="8" xfId="0">
      <alignment horizontal="center" vertical="center"/>
    </xf>
    <xf numFmtId="0" fontId="0" fillId="59" borderId="8" xfId="0">
      <alignment horizontal="center" vertical="center"/>
    </xf>
    <xf numFmtId="0" fontId="0" fillId="57" borderId="0" xfId="0" applyNumberFormat="1" applyFill="1" applyAlignment="1">
      <alignment horizontal="center" vertical="center"/>
    </xf>
    <xf numFmtId="0" fontId="0" fillId="18" borderId="0" xfId="0" applyNumberFormat="1" applyFill="1" applyAlignment="1">
      <alignment horizontal="center" vertical="center" wrapText="0"/>
    </xf>
    <xf numFmtId="68" fontId="3" fillId="3" borderId="0" xfId="0">
      <alignment horizontal="center" vertical="center" wrapText="0"/>
    </xf>
    <xf numFmtId="305" fontId="0" fillId="56" borderId="0" xfId="0">
      <alignment horizontal="center" vertical="center"/>
    </xf>
    <xf fontId="84" fillId="0" borderId="8" xfId="0">
      <alignment vertical="center" textRotation="0" wrapText="1"/>
    </xf>
    <xf fontId="84" fillId="0" borderId="33" xfId="0">
      <alignment vertical="center" textRotation="0" wrapText="1"/>
    </xf>
    <xf fontId="84" fillId="0" borderId="33" xfId="0">
      <alignment vertical="center" textRotation="0" wrapText="1"/>
    </xf>
    <xf fontId="84" fillId="0" borderId="18" xfId="0">
      <alignment vertical="center" textRotation="0" wrapText="1"/>
    </xf>
    <xf fontId="10" fillId="0" borderId="0" xfId="0">
      <alignment vertical="center"/>
    </xf>
    <xf fontId="43" fillId="0" borderId="29" xfId="0">
      <alignment vertical="center" textRotation="0" wrapText="1"/>
    </xf>
    <xf fontId="43" fillId="0" borderId="25" xfId="0">
      <alignment vertical="center" textRotation="0" wrapText="1"/>
    </xf>
    <xf fontId="43" fillId="0" borderId="25" xfId="0">
      <alignment vertical="center" textRotation="0" wrapText="1"/>
    </xf>
    <xf fontId="43" fillId="0" borderId="34" xfId="0">
      <alignment vertical="center" textRotation="0" wrapText="1"/>
    </xf>
    <xf fontId="43" fillId="0" borderId="12" xfId="0">
      <alignment vertical="center" textRotation="0" wrapText="1"/>
    </xf>
    <xf fontId="43" fillId="0" borderId="35" xfId="0">
      <alignment vertical="center" textRotation="0" wrapText="1"/>
    </xf>
    <xf fontId="43" fillId="0" borderId="35" xfId="0">
      <alignment vertical="center" textRotation="0" wrapText="1"/>
    </xf>
    <xf fontId="43" fillId="0" borderId="36" xfId="0">
      <alignment vertical="center" textRotation="0" wrapText="1"/>
    </xf>
    <xf fontId="10" fillId="0" borderId="37" xfId="0">
      <alignment vertical="center"/>
    </xf>
    <xf fontId="10" fillId="0" borderId="23" xfId="0">
      <alignment vertical="center"/>
    </xf>
    <xf fontId="57" fillId="27" borderId="1" xfId="0">
      <alignment horizontal="center" vertical="center" wrapText="0"/>
    </xf>
    <xf fontId="71" fillId="27" borderId="1" xfId="0">
      <alignment horizontal="left" vertical="center" wrapText="0"/>
    </xf>
    <xf fontId="63" fillId="25" borderId="0" xfId="0">
      <alignment vertical="center" textRotation="0"/>
    </xf>
    <xf fontId="64" fillId="25" borderId="13" xfId="0">
      <alignment horizontal="center" vertical="center" textRotation="0"/>
    </xf>
    <xf fontId="63" fillId="25" borderId="13" xfId="0">
      <alignment vertical="bottom" textRotation="0"/>
    </xf>
    <xf fontId="63" fillId="25" borderId="13" xfId="0">
      <alignment vertical="bottom" textRotation="0"/>
    </xf>
    <xf fontId="62" fillId="25" borderId="13" xfId="0">
      <alignment vertical="bottom" textRotation="0"/>
    </xf>
    <xf fontId="62" fillId="25" borderId="13" xfId="0">
      <alignment horizontal="left" vertical="bottom" textRotation="0"/>
    </xf>
    <xf fontId="63" fillId="25" borderId="13" xfId="0">
      <alignment vertical="bottom" textRotation="0"/>
    </xf>
    <xf fontId="63" fillId="27" borderId="13" xfId="0">
      <alignment vertical="bottom" textRotation="0"/>
    </xf>
    <xf fontId="62" fillId="27" borderId="13" xfId="0">
      <alignment vertical="bottom" textRotation="0"/>
    </xf>
    <xf fontId="57" fillId="69" borderId="1" xfId="0">
      <alignment horizontal="center" vertical="center" wrapText="0"/>
    </xf>
    <xf fontId="71" fillId="69" borderId="1" xfId="0">
      <alignment horizontal="left" vertical="center" wrapText="0"/>
    </xf>
    <xf fontId="63" fillId="70" borderId="0" xfId="0">
      <alignment vertical="center" textRotation="0"/>
    </xf>
    <xf fontId="64" fillId="70" borderId="13" xfId="0">
      <alignment horizontal="center" vertical="center" textRotation="0"/>
    </xf>
    <xf fontId="63" fillId="70" borderId="13" xfId="0">
      <alignment vertical="bottom" textRotation="0"/>
    </xf>
    <xf fontId="63" fillId="70" borderId="13" xfId="0">
      <alignment vertical="bottom" textRotation="0"/>
    </xf>
    <xf fontId="62" fillId="70" borderId="13" xfId="0">
      <alignment vertical="bottom" textRotation="0"/>
    </xf>
    <xf fontId="62" fillId="70" borderId="13" xfId="0">
      <alignment horizontal="left" vertical="bottom" textRotation="0"/>
    </xf>
    <xf fontId="63" fillId="70" borderId="13" xfId="0">
      <alignment vertical="bottom" textRotation="0"/>
    </xf>
    <xf fontId="63" fillId="69" borderId="13" xfId="0">
      <alignment vertical="bottom" textRotation="0"/>
    </xf>
    <xf fontId="62" fillId="69" borderId="13" xfId="0">
      <alignment vertical="bottom" textRotation="0"/>
    </xf>
    <xf fontId="9" fillId="0" borderId="0" xfId="0">
      <alignment vertical="center"/>
    </xf>
    <xf fontId="10" fillId="0" borderId="0" xfId="0">
      <alignment vertical="center"/>
    </xf>
    <xf fontId="24" fillId="0" borderId="0" xfId="0">
      <alignment vertical="center"/>
    </xf>
    <xf fontId="0" fillId="0" borderId="1" xfId="0">
      <alignment horizontal="center" vertical="center" wrapText="0"/>
    </xf>
    <xf numFmtId="311" fontId="11" fillId="0" borderId="1" xfId="0">
      <alignment horizontal="center" vertical="center" wrapText="0"/>
    </xf>
    <xf numFmtId="311" fontId="10" fillId="0" borderId="1" xfId="0">
      <alignment horizontal="center" vertical="center" wrapText="0"/>
    </xf>
    <xf numFmtId="306" fontId="0" fillId="0" borderId="1" xfId="0">
      <alignment horizontal="center" vertical="center" wrapText="0"/>
    </xf>
    <xf numFmtId="300" fontId="0" fillId="0" borderId="1" xfId="0">
      <alignment horizontal="center" vertical="center" wrapText="0"/>
    </xf>
    <xf numFmtId="301" fontId="8" fillId="0" borderId="1" xfId="0">
      <alignment horizontal="center" vertical="center" wrapText="0"/>
    </xf>
    <xf numFmtId="311" fontId="8" fillId="0" borderId="1" xfId="0">
      <alignment horizontal="center" vertical="center" wrapText="0"/>
    </xf>
    <xf fontId="36" fillId="0" borderId="1" xfId="0">
      <alignment horizontal="center" vertical="center" wrapText="0"/>
    </xf>
    <xf fontId="11" fillId="0" borderId="1" xfId="0">
      <alignment horizontal="center" vertical="center" wrapText="0"/>
    </xf>
    <xf fontId="0" fillId="71" borderId="0" xfId="0">
      <alignment vertical="center"/>
    </xf>
    <xf numFmtId="311" fontId="0" fillId="0" borderId="8" xfId="0">
      <alignment vertical="center"/>
    </xf>
    <xf numFmtId="311" fontId="0" fillId="0" borderId="8" xfId="0">
      <alignment horizontal="left" vertical="center" wrapText="1"/>
    </xf>
    <xf numFmtId="311" fontId="0" fillId="27" borderId="8" xfId="0">
      <alignment vertical="center"/>
    </xf>
    <xf numFmtId="311" fontId="17" fillId="27" borderId="8" xfId="0">
      <alignment vertical="center"/>
    </xf>
    <xf numFmtId="312" fontId="10" fillId="27" borderId="20" xfId="0">
      <alignment horizontal="center" vertical="center"/>
    </xf>
    <xf fontId="0" fillId="27" borderId="8" xfId="0">
      <alignment horizontal="center" vertical="center"/>
    </xf>
    <xf numFmtId="312" fontId="0" fillId="0" borderId="0" xfId="0">
      <alignment horizontal="center" vertical="center"/>
    </xf>
    <xf fontId="0" fillId="13" borderId="0" xfId="0">
      <alignment horizontal="center" vertical="center"/>
    </xf>
    <xf fontId="0" fillId="34" borderId="0" xfId="0">
      <alignment horizontal="center" vertical="center"/>
    </xf>
    <xf fontId="0" fillId="19" borderId="0" xfId="0">
      <alignment vertical="center"/>
    </xf>
    <xf numFmtId="311" fontId="17" fillId="0" borderId="8" xfId="0">
      <alignment vertical="center"/>
    </xf>
    <xf fontId="85" fillId="0" borderId="1" xfId="0">
      <alignment vertical="center"/>
    </xf>
    <xf fontId="14" fillId="18" borderId="1" xfId="0">
      <alignment vertical="center"/>
    </xf>
    <xf fontId="10" fillId="19" borderId="0" xfId="0">
      <alignment vertical="center"/>
    </xf>
    <xf fontId="0" fillId="18" borderId="0" xfId="0">
      <alignment vertical="center"/>
    </xf>
    <xf fontId="0" fillId="19" borderId="0" xfId="0">
      <alignment vertical="center" wrapText="0"/>
    </xf>
    <xf fontId="11" fillId="0" borderId="0" xfId="0">
      <alignment vertical="center"/>
    </xf>
    <xf fontId="86" fillId="0" borderId="0" xfId="0">
      <alignment vertical="center"/>
    </xf>
    <xf fontId="87" fillId="0" borderId="0" xfId="0">
      <alignment vertical="center"/>
    </xf>
    <xf fontId="0" fillId="69" borderId="0" xfId="0">
      <alignment vertical="center"/>
    </xf>
    <xf fontId="57" fillId="53" borderId="1" xfId="0">
      <alignment horizontal="center" vertical="center" wrapText="0"/>
    </xf>
    <xf fontId="57" fillId="51" borderId="1" xfId="0">
      <alignment horizontal="center" vertical="center" wrapText="0"/>
    </xf>
    <xf numFmtId="313" fontId="57" fillId="51" borderId="1" xfId="0">
      <alignment horizontal="center" vertical="center" wrapText="0"/>
    </xf>
    <xf numFmtId="313" fontId="75" fillId="18" borderId="38" xfId="0" applyNumberFormat="1" applyFont="1" applyFill="1" applyBorder="1">
      <alignment vertical="center"/>
    </xf>
    <xf numFmtId="313" fontId="0" fillId="18" borderId="31" xfId="0" applyNumberFormat="1" applyFill="1" applyBorder="1" applyAlignment="1">
      <alignment horizontal="center" vertical="center"/>
    </xf>
    <xf numFmtId="313" fontId="11" fillId="18" borderId="39" xfId="0" applyNumberFormat="1" applyFont="1" applyFill="1" applyBorder="1" applyAlignment="1">
      <alignment horizontal="center" vertical="center"/>
    </xf>
    <xf numFmtId="313" fontId="0" fillId="18" borderId="40" xfId="0" applyNumberFormat="1" applyFill="1" applyBorder="1" applyAlignment="1">
      <alignment horizontal="center" vertical="center"/>
    </xf>
    <xf numFmtId="313" fontId="88" fillId="72" borderId="41" xfId="0" applyNumberFormat="1" applyFont="1" applyFill="1" applyBorder="1" applyAlignment="1">
      <alignment horizontal="center" vertical="center"/>
    </xf>
    <xf numFmtId="313" fontId="0" fillId="73" borderId="30" xfId="0" applyNumberFormat="1" applyFill="1" applyBorder="1" applyAlignment="1">
      <alignment horizontal="center" vertical="center"/>
    </xf>
    <xf numFmtId="313" fontId="0" fillId="74" borderId="40" xfId="0" applyNumberFormat="1" applyFill="1" applyBorder="1" applyAlignment="1">
      <alignment horizontal="center" vertical="center"/>
    </xf>
    <xf numFmtId="313" fontId="0" fillId="61" borderId="40" xfId="0" applyNumberFormat="1" applyFill="1" applyBorder="1" applyAlignment="1">
      <alignment horizontal="center" vertical="center"/>
    </xf>
    <xf numFmtId="313" fontId="0" fillId="75" borderId="39" xfId="0" applyNumberFormat="1" applyFill="1" applyBorder="1" applyAlignment="1">
      <alignment horizontal="center" vertical="center"/>
    </xf>
    <xf numFmtId="313" fontId="0" fillId="18" borderId="39" xfId="0" applyNumberFormat="1" applyFill="1" applyBorder="1" applyAlignment="1">
      <alignment horizontal="center" vertical="center"/>
    </xf>
  </cellXfs>
  <cellStyles>
    <cellStyle name="常规" xfId="0" builtinId="0"/>
  </cellStyles>
  <dxfs count="2">
    <dxf>
      <font>
        <b val="0"/>
        <i val="0"/>
        <strike val="0"/>
        <color rgb="FF000000"/>
      </font>
      <fill>
        <patternFill patternType="solid">
          <fgColor rgb="FFEAFAF1"/>
          <bgColor rgb="FFEAFAF1"/>
        </patternFill>
      </fill>
    </dxf>
    <dxf>
      <font>
        <b val="0"/>
        <i val="0"/>
        <strike val="0"/>
      </font>
      <fill>
        <patternFill patternType="solid">
          <fgColor rgb="FFFFE9E8"/>
          <bgColor rgb="FFFFE9E8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7.xml" /><Relationship Id="rId8" Type="http://schemas.openxmlformats.org/officeDocument/2006/relationships/worksheet" Target="worksheets/sheet6.xml" /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2" Type="http://schemas.openxmlformats.org/officeDocument/2006/relationships/styles" Target="styles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10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_rels/sheet5.xml.rels><?xml version="1.0" encoding="UTF-8" standalone="yes"?><Relationships xmlns="http://schemas.openxmlformats.org/package/2006/relationships"><Relationship Id="rId6" Type="http://schemas.openxmlformats.org/officeDocument/2006/relationships/hyperlink" Target="http://@swsc.com.cn" TargetMode="External"/><Relationship Id="rId1" Type="http://schemas.openxmlformats.org/officeDocument/2006/relationships/hyperlink" Target="mailto:zhengyif@swsc.com.cn" TargetMode="External"/><Relationship Id="rId0" Type="http://schemas.openxmlformats.org/officeDocument/2006/relationships/hyperlink" Target="mailto:ytl@swsc.com.cn" TargetMode="External"/><Relationship Id="rId2" Type="http://schemas.openxmlformats.org/officeDocument/2006/relationships/hyperlink" Target="mailto:wld@swsc.com.cn" TargetMode="External"/><Relationship Id="rId3" Type="http://schemas.openxmlformats.org/officeDocument/2006/relationships/hyperlink" Target="mailto:huangzq@swsc.com.cn" TargetMode="External"/><Relationship Id="rId5" Type="http://schemas.openxmlformats.org/officeDocument/2006/relationships/hyperlink" Target="mailto:czn@swsc.com.cn" TargetMode="External"/><Relationship Id="rId4" Type="http://schemas.openxmlformats.org/officeDocument/2006/relationships/hyperlink" Target="mailto:gongrang@swsc.com.cn" TargetMode="External"/></Relationships>
</file>

<file path=xl/worksheets/sheet1.xml><?xml version="1.0" encoding="utf-8"?>
<worksheet xmlns="http://schemas.openxmlformats.org/spreadsheetml/2006/main">
  <sheetPr codeName="【持仓表】">
    <tabColor/>
  </sheetPr>
  <dimension ref="E243"/>
  <sheetViews>
    <sheetView showGridLines="1" rightToLeft="0" workbookViewId="0"/>
  </sheetViews>
  <sheetFormatPr baseColWidth="13" defaultRowHeight="18" customHeight="1"/>
  <cols>
    <col min="1" max="1" width="27.7812" style="754" customWidth="1"/>
    <col min="2" max="2" width="15.7812" style="754" customWidth="1"/>
    <col min="3" max="3" width="15.1016" style="755" customWidth="1"/>
    <col min="4" max="4" width="15.1016" style="756" customWidth="1"/>
    <col min="5" max="5" width="17.9414" style="757" customWidth="1"/>
    <col min="6" max="6" width="15.2422" style="754" customWidth="1"/>
    <col min="7" max="8" width="14.1719" style="754" customWidth="1"/>
    <col min="9" max="9" width="16.1836" style="754" customWidth="1"/>
    <col min="10" max="10" width="17.1328" style="754" customWidth="1"/>
    <col min="11" max="11" width="20.8008" style="754" customWidth="1"/>
    <col min="12" max="12" width="23.6016" style="758" customWidth="1"/>
    <col min="13" max="13" width="15.6016" style="758" customWidth="1"/>
    <col min="14" max="14" width="15.0625" style="754" customWidth="1"/>
    <col min="15" max="15" width="19.5508" style="759" customWidth="1"/>
    <col min="16" max="16" width="19.5508" style="760" customWidth="1"/>
    <col min="17" max="17" width="14.832" style="761" customWidth="1"/>
    <col min="18" max="19" width="15.3125" style="762" customWidth="1"/>
    <col min="20" max="21" width="18.2109" style="762" customWidth="1"/>
    <col min="22" max="22" width="21.043" style="762" customWidth="1"/>
    <col min="23" max="23" width="13.082" style="762" customWidth="1"/>
    <col min="24" max="24" width="23.7422" style="762" customWidth="1"/>
    <col min="25" max="25" width="35.4727" style="762" customWidth="1"/>
    <col min="26" max="26" width="13.6719" style="762" customWidth="1"/>
    <col min="27" max="27" width="14.293" style="754" customWidth="1"/>
    <col min="28" max="30" width="13.6719" style="754" customWidth="1"/>
  </cols>
  <sheetData>
    <row r="1" spans="1:30" ht="30" customHeight="1">
      <c r="A1" s="4" t="s">
        <v>1</v>
      </c>
      <c r="B1" s="4" t="s">
        <v>2</v>
      </c>
      <c r="C1" s="5" t="s">
        <v>3</v>
      </c>
      <c r="D1" s="6" t="s">
        <v>4</v>
      </c>
      <c r="E1" s="7" t="s">
        <v>5</v>
      </c>
      <c r="F1" s="8" t="s">
        <v>6</v>
      </c>
      <c r="G1" s="9" t="s">
        <v>7</v>
      </c>
      <c r="H1" s="4" t="s">
        <v>8</v>
      </c>
      <c r="I1" s="6" t="s">
        <v>9</v>
      </c>
      <c r="J1" s="6" t="s">
        <v>10</v>
      </c>
      <c r="K1" s="8" t="s">
        <v>11</v>
      </c>
      <c r="L1" s="10" t="s">
        <v>12</v>
      </c>
      <c r="M1" s="6" t="s">
        <v>13</v>
      </c>
      <c r="N1" s="4" t="s">
        <v>14</v>
      </c>
      <c r="O1" s="11" t="s">
        <v>15</v>
      </c>
      <c r="P1" s="12" t="s">
        <v>16</v>
      </c>
      <c r="Q1" s="13" t="s">
        <v>17</v>
      </c>
      <c r="R1" s="14" t="s">
        <v>18</v>
      </c>
      <c r="S1" s="14" t="s">
        <v>19</v>
      </c>
      <c r="T1" s="15" t="s">
        <v>20</v>
      </c>
      <c r="U1" s="15" t="s">
        <v>21</v>
      </c>
      <c r="V1" s="16" t="s">
        <v>2366</v>
      </c>
      <c r="W1" s="16" t="s">
        <v>22</v>
      </c>
      <c r="X1" s="17" t="s">
        <v>2367</v>
      </c>
      <c r="Y1" s="18" t="s">
        <v>23</v>
      </c>
      <c r="Z1" s="19" t="s">
        <v>24</v>
      </c>
      <c r="AA1" s="20" t="s">
        <v>25</v>
      </c>
      <c r="AB1" s="21" t="s">
        <v>26</v>
      </c>
      <c r="AC1" s="22" t="s">
        <v>27</v>
      </c>
      <c r="AD1" s="23" t="s">
        <v>28</v>
      </c>
    </row>
    <row r="2" spans="1:30" s="751" customFormat="1" ht="20.25" customHeight="1">
      <c r="A2" s="24" t="s">
        <v>29</v>
      </c>
      <c r="B2" s="25" t="s"/>
      <c r="C2" s="26" t="s"/>
      <c r="D2" s="26" t="s"/>
      <c r="E2" s="27" t="s"/>
      <c r="F2" s="25" t="s"/>
      <c r="G2" s="25" t="s"/>
      <c r="H2" s="25" t="s"/>
      <c r="I2" s="25" t="s"/>
      <c r="J2" s="25" t="s"/>
      <c r="K2" s="25" t="s"/>
      <c r="L2" s="28" t="s"/>
      <c r="M2" s="28" t="s"/>
      <c r="N2" s="29" t="s"/>
      <c r="O2" s="30" t="s"/>
      <c r="P2" s="31" t="s"/>
      <c r="Q2" s="32" t="s"/>
      <c r="R2" s="32" t="s"/>
      <c r="S2" s="32" t="s"/>
      <c r="T2" s="33" t="s"/>
      <c r="U2" s="33">
        <v>0.022</v>
      </c>
      <c r="V2" s="34">
        <f>Z2+X2</f>
        <v>1944569818.99333</v>
      </c>
      <c r="W2" s="35">
        <f>SUMIFS(I3:I117,F3:F117,"AA")</f>
        <v>66000</v>
      </c>
      <c r="X2" s="36">
        <f>SUMIF(F:F,"AA",J:J)</f>
        <v>675533813.083333</v>
      </c>
      <c r="Y2" s="37">
        <f>SUMIFS(I3:I117,F3:F117,"AA+")</f>
        <v>124700</v>
      </c>
      <c r="Z2" s="34">
        <f>SUMIF(F:F,"AA+",J:J)</f>
        <v>1269036005.91</v>
      </c>
      <c r="AA2" s="38">
        <f>(SUMPRODUCT(D:D,I:I))/365</f>
        <v>20.538904109589</v>
      </c>
      <c r="AB2" s="36">
        <f>VLOOKUP(TODAY(),' 【资金成本】'!A:F,6)</f>
        <v>0</v>
      </c>
      <c r="AC2" s="36">
        <f>SUMPRODUCT(E3:E114,I3:I114)/SUM(I3:I113)</f>
        <v>0.0235458316486581</v>
      </c>
      <c r="AD2" s="39" t="e">
        <f>(SUMPRODUCT(#REF!,#REF!)+SUMPRODUCT(#REF!,#REF!))/I101</f>
        <v>#REF!</v>
      </c>
    </row>
    <row r="3" spans="1:30" s="751" customFormat="1">
      <c r="A3" s="40" t="s">
        <v>30</v>
      </c>
      <c r="B3" s="40" t="s">
        <v>31</v>
      </c>
      <c r="C3" s="41" t="s">
        <v>32</v>
      </c>
      <c r="D3" s="40">
        <v>0.0204</v>
      </c>
      <c r="E3" s="40">
        <v>0.019365</v>
      </c>
      <c r="F3" s="42" t="s">
        <v>33</v>
      </c>
      <c r="G3" s="43" t="s">
        <v>34</v>
      </c>
      <c r="H3" s="44" t="s">
        <v>35</v>
      </c>
      <c r="I3" s="45">
        <v>4000</v>
      </c>
      <c r="J3" s="46">
        <v>40267446.58</v>
      </c>
      <c r="K3" s="47">
        <v>46274</v>
      </c>
      <c r="L3" s="48">
        <f>NETWORKDAYS(K3,TODAY(),$A$143:$A$148)</f>
        <v>19</v>
      </c>
      <c r="M3" s="49" t="s"/>
      <c r="N3" s="42" t="s">
        <v>36</v>
      </c>
      <c r="O3" s="50" t="s"/>
      <c r="P3" s="40">
        <v>0.019006</v>
      </c>
      <c r="Q3" s="51">
        <v>69160</v>
      </c>
      <c r="R3" s="52">
        <f>E3*I3/365*10000</f>
        <v>2122.19178082192</v>
      </c>
      <c r="S3" s="49">
        <v>9</v>
      </c>
      <c r="T3" s="53" t="s"/>
      <c r="U3" s="54" t="s"/>
      <c r="V3" s="55" t="s"/>
      <c r="W3" s="55" t="s"/>
      <c r="X3" s="55" t="s"/>
      <c r="Y3" s="55" t="s"/>
      <c r="Z3" s="55" t="s"/>
      <c r="AA3" s="56" t="s"/>
      <c r="AB3" s="56" t="s"/>
      <c r="AC3" s="56" t="s"/>
      <c r="AD3" s="56" t="s"/>
    </row>
    <row r="4" spans="1:30" s="751" customFormat="1">
      <c r="A4" s="40" t="s">
        <v>37</v>
      </c>
      <c r="B4" s="40" t="s">
        <v>38</v>
      </c>
      <c r="C4" s="41" t="s">
        <v>39</v>
      </c>
      <c r="D4" s="40">
        <v>0.0274</v>
      </c>
      <c r="E4" s="40">
        <v>0.025591</v>
      </c>
      <c r="F4" s="42" t="s">
        <v>33</v>
      </c>
      <c r="G4" s="43" t="s">
        <v>34</v>
      </c>
      <c r="H4" s="44" t="s">
        <v>35</v>
      </c>
      <c r="I4" s="45">
        <v>7000</v>
      </c>
      <c r="J4" s="46">
        <v>70753717.81</v>
      </c>
      <c r="K4" s="47">
        <v>46275</v>
      </c>
      <c r="L4" s="48">
        <f>NETWORKDAYS(K4,TODAY(),$A$143:$A$148)</f>
        <v>18</v>
      </c>
      <c r="M4" s="49" t="s"/>
      <c r="N4" s="42" t="s">
        <v>36</v>
      </c>
      <c r="O4" s="50" t="s"/>
      <c r="P4" s="40">
        <v>0.0246</v>
      </c>
      <c r="Q4" s="51">
        <v>324380</v>
      </c>
      <c r="R4" s="52">
        <f>E4*I4/365*10000</f>
        <v>4907.86301369863</v>
      </c>
      <c r="S4" s="49">
        <v>5</v>
      </c>
      <c r="T4" s="53" t="s"/>
      <c r="U4" s="54" t="s"/>
      <c r="V4" s="55" t="s"/>
      <c r="W4" s="55" t="s"/>
      <c r="X4" s="55" t="s"/>
      <c r="Y4" s="55" t="s"/>
      <c r="Z4" s="55" t="s"/>
      <c r="AA4" s="56" t="s"/>
      <c r="AB4" s="56" t="s"/>
      <c r="AC4" s="56" t="s"/>
      <c r="AD4" s="56" t="s"/>
    </row>
    <row r="5" spans="1:30" s="751" customFormat="1">
      <c r="A5" s="40" t="s">
        <v>45</v>
      </c>
      <c r="B5" s="40" t="s">
        <v>46</v>
      </c>
      <c r="C5" s="41" t="s">
        <v>47</v>
      </c>
      <c r="D5" s="40">
        <v>0.028</v>
      </c>
      <c r="E5" s="40">
        <v>0.027873</v>
      </c>
      <c r="F5" s="42" t="s">
        <v>33</v>
      </c>
      <c r="G5" s="43" t="s">
        <v>34</v>
      </c>
      <c r="H5" s="44" t="s">
        <v>35</v>
      </c>
      <c r="I5" s="45">
        <v>2500</v>
      </c>
      <c r="J5" s="46">
        <v>25158253.42</v>
      </c>
      <c r="K5" s="47">
        <v>46275</v>
      </c>
      <c r="L5" s="48">
        <f>NETWORKDAYS(K5,TODAY(),$A$143:$A$148)</f>
        <v>18</v>
      </c>
      <c r="M5" s="49" t="s"/>
      <c r="N5" s="42" t="s">
        <v>48</v>
      </c>
      <c r="O5" s="50" t="s"/>
      <c r="P5" s="40">
        <v>0.02691</v>
      </c>
      <c r="Q5" s="51">
        <v>107000</v>
      </c>
      <c r="R5" s="52">
        <f>E5*I5/365*10000</f>
        <v>1909.1095890411</v>
      </c>
      <c r="S5" s="49">
        <v>5</v>
      </c>
      <c r="T5" s="53" t="s"/>
      <c r="U5" s="54" t="s"/>
      <c r="V5" s="55" t="s"/>
      <c r="W5" s="55" t="s"/>
      <c r="X5" s="55" t="s"/>
      <c r="Y5" s="55" t="s"/>
      <c r="Z5" s="55" t="s"/>
      <c r="AA5" s="56" t="s"/>
      <c r="AB5" s="56" t="s"/>
      <c r="AC5" s="56" t="s"/>
      <c r="AD5" s="56" t="s"/>
    </row>
    <row r="6" spans="1:30" s="751" customFormat="1">
      <c r="A6" s="40" t="s">
        <v>49</v>
      </c>
      <c r="B6" s="40" t="s">
        <v>2368</v>
      </c>
      <c r="C6" s="41" t="s">
        <v>39</v>
      </c>
      <c r="D6" s="40">
        <v>0.0201</v>
      </c>
      <c r="E6" s="40">
        <v>0.019265</v>
      </c>
      <c r="F6" s="42" t="s">
        <v>50</v>
      </c>
      <c r="G6" s="43" t="s">
        <v>34</v>
      </c>
      <c r="H6" s="44" t="s">
        <v>35</v>
      </c>
      <c r="I6" s="45">
        <v>6000</v>
      </c>
      <c r="J6" s="46">
        <v>60337635.62</v>
      </c>
      <c r="K6" s="47">
        <v>46276</v>
      </c>
      <c r="L6" s="48">
        <f>NETWORKDAYS(K6,TODAY(),$A$143:$A$148)</f>
        <v>17</v>
      </c>
      <c r="M6" s="49" t="s"/>
      <c r="N6" s="42" t="s">
        <v>36</v>
      </c>
      <c r="O6" s="50" t="s"/>
      <c r="P6" s="40">
        <v>0.019074</v>
      </c>
      <c r="Q6" s="51">
        <v>56880</v>
      </c>
      <c r="R6" s="52">
        <f>E6*I6/365*10000</f>
        <v>3166.84931506849</v>
      </c>
      <c r="S6" s="49">
        <v>8.3</v>
      </c>
      <c r="T6" s="53" t="s"/>
      <c r="U6" s="54" t="s"/>
      <c r="V6" s="55" t="s"/>
      <c r="W6" s="55" t="s"/>
      <c r="X6" s="55" t="s"/>
      <c r="Y6" s="55" t="s"/>
      <c r="Z6" s="55" t="s"/>
      <c r="AA6" s="56" t="s"/>
      <c r="AB6" s="56" t="s"/>
      <c r="AC6" s="56" t="s"/>
      <c r="AD6" s="56" t="s"/>
    </row>
    <row r="7" spans="1:30" s="751" customFormat="1">
      <c r="A7" s="40" t="s">
        <v>51</v>
      </c>
      <c r="B7" s="40" t="s">
        <v>52</v>
      </c>
      <c r="C7" s="41" t="s">
        <v>53</v>
      </c>
      <c r="D7" s="40">
        <v>0.0312</v>
      </c>
      <c r="E7" s="40">
        <v>0.020497</v>
      </c>
      <c r="F7" s="42" t="s">
        <v>43</v>
      </c>
      <c r="G7" s="43" t="s">
        <v>34</v>
      </c>
      <c r="H7" s="44" t="s">
        <v>35</v>
      </c>
      <c r="I7" s="45">
        <v>2000</v>
      </c>
      <c r="J7" s="46">
        <v>21019906.85</v>
      </c>
      <c r="K7" s="47">
        <v>46276</v>
      </c>
      <c r="L7" s="48">
        <f>NETWORKDAYS(K7,TODAY(),$A$143:$A$148)</f>
        <v>17</v>
      </c>
      <c r="M7" s="49" t="s"/>
      <c r="N7" s="42" t="s">
        <v>54</v>
      </c>
      <c r="O7" s="50" t="s"/>
      <c r="P7" s="40">
        <v>0.019237</v>
      </c>
      <c r="Q7" s="51">
        <v>89240</v>
      </c>
      <c r="R7" s="52">
        <f>E7*I7/365*10000</f>
        <v>1123.12328767123</v>
      </c>
      <c r="S7" s="49">
        <v>9.3</v>
      </c>
      <c r="T7" s="53" t="s"/>
      <c r="U7" s="54" t="s"/>
      <c r="V7" s="55" t="s"/>
      <c r="W7" s="55" t="s"/>
      <c r="X7" s="55" t="s"/>
      <c r="Y7" s="55" t="s"/>
      <c r="Z7" s="55" t="s"/>
      <c r="AA7" s="56" t="s"/>
      <c r="AB7" s="56" t="s"/>
      <c r="AC7" s="56" t="s"/>
      <c r="AD7" s="56" t="s"/>
    </row>
    <row r="8" spans="1:30" s="751" customFormat="1">
      <c r="A8" s="40" t="s">
        <v>55</v>
      </c>
      <c r="B8" s="40" t="s">
        <v>56</v>
      </c>
      <c r="C8" s="41" t="s">
        <v>57</v>
      </c>
      <c r="D8" s="40">
        <v>0.0343</v>
      </c>
      <c r="E8" s="40">
        <v>0.026698</v>
      </c>
      <c r="F8" s="42" t="s">
        <v>33</v>
      </c>
      <c r="G8" s="43" t="s">
        <v>34</v>
      </c>
      <c r="H8" s="44" t="s">
        <v>35</v>
      </c>
      <c r="I8" s="45">
        <v>1000</v>
      </c>
      <c r="J8" s="46">
        <v>10575798.36</v>
      </c>
      <c r="K8" s="47">
        <v>46276</v>
      </c>
      <c r="L8" s="48">
        <f>NETWORKDAYS(K8,TODAY(),$A$143:$A$148)</f>
        <v>17</v>
      </c>
      <c r="M8" s="49" t="s"/>
      <c r="N8" s="42" t="s">
        <v>54</v>
      </c>
      <c r="O8" s="50" t="s"/>
      <c r="P8" s="40">
        <v>0.026688</v>
      </c>
      <c r="Q8" s="51">
        <v>1500</v>
      </c>
      <c r="R8" s="52">
        <f>E8*I8/365*10000</f>
        <v>731.452054794521</v>
      </c>
      <c r="S8" s="49">
        <v>5</v>
      </c>
      <c r="T8" s="53" t="s"/>
      <c r="U8" s="54" t="s"/>
      <c r="V8" s="55" t="s"/>
      <c r="W8" s="55" t="s"/>
      <c r="X8" s="55" t="s"/>
      <c r="Y8" s="55" t="s"/>
      <c r="Z8" s="55" t="s"/>
      <c r="AA8" s="56" t="s"/>
      <c r="AB8" s="56" t="s"/>
      <c r="AC8" s="56" t="s"/>
      <c r="AD8" s="56" t="s"/>
    </row>
    <row r="9" spans="1:30" s="751" customFormat="1">
      <c r="A9" s="40" t="s">
        <v>58</v>
      </c>
      <c r="B9" s="40" t="s">
        <v>59</v>
      </c>
      <c r="C9" s="41" t="s">
        <v>60</v>
      </c>
      <c r="D9" s="40">
        <v>0.0359</v>
      </c>
      <c r="E9" s="40">
        <v>0.027998</v>
      </c>
      <c r="F9" s="42" t="s">
        <v>33</v>
      </c>
      <c r="G9" s="43" t="s">
        <v>34</v>
      </c>
      <c r="H9" s="44" t="s">
        <v>35</v>
      </c>
      <c r="I9" s="45">
        <v>5000</v>
      </c>
      <c r="J9" s="46">
        <v>52945325.34</v>
      </c>
      <c r="K9" s="47">
        <v>46276</v>
      </c>
      <c r="L9" s="48">
        <f>NETWORKDAYS(K9,TODAY(),$A$143:$A$148)</f>
        <v>17</v>
      </c>
      <c r="M9" s="49" t="s"/>
      <c r="N9" s="42" t="s">
        <v>54</v>
      </c>
      <c r="O9" s="50" t="s"/>
      <c r="P9" s="40">
        <v>0.026738</v>
      </c>
      <c r="Q9" s="51">
        <v>259350</v>
      </c>
      <c r="R9" s="52">
        <f>E9*I9/365*10000</f>
        <v>3835.34246575342</v>
      </c>
      <c r="S9" s="49">
        <v>5</v>
      </c>
      <c r="T9" s="53" t="s"/>
      <c r="U9" s="54" t="s"/>
      <c r="V9" s="55" t="s"/>
      <c r="W9" s="55" t="s"/>
      <c r="X9" s="55" t="s"/>
      <c r="Y9" s="55" t="s"/>
      <c r="Z9" s="55" t="s"/>
      <c r="AA9" s="56" t="s"/>
      <c r="AB9" s="56" t="s"/>
      <c r="AC9" s="56" t="s"/>
      <c r="AD9" s="56" t="s"/>
    </row>
    <row r="10" spans="1:30" s="751" customFormat="1">
      <c r="A10" s="40" t="s">
        <v>61</v>
      </c>
      <c r="B10" s="40" t="s">
        <v>62</v>
      </c>
      <c r="C10" s="41" t="s">
        <v>63</v>
      </c>
      <c r="D10" s="40">
        <v>0.0328</v>
      </c>
      <c r="E10" s="40">
        <v>0.0304</v>
      </c>
      <c r="F10" s="42" t="s">
        <v>33</v>
      </c>
      <c r="G10" s="43" t="s">
        <v>64</v>
      </c>
      <c r="H10" s="44" t="s">
        <v>35</v>
      </c>
      <c r="I10" s="45">
        <v>3000</v>
      </c>
      <c r="J10" s="46">
        <v>30620776.44</v>
      </c>
      <c r="K10" s="47">
        <v>46279</v>
      </c>
      <c r="L10" s="48">
        <f>NETWORKDAYS(K10,TODAY(),$A$143:$A$148)</f>
        <v>16</v>
      </c>
      <c r="M10" s="49" t="s"/>
      <c r="N10" s="42" t="s">
        <v>48</v>
      </c>
      <c r="O10" s="50" t="s"/>
      <c r="P10" s="40">
        <v>0.030746</v>
      </c>
      <c r="Q10" s="51">
        <v>-63000</v>
      </c>
      <c r="R10" s="52">
        <f>E10*I10/365*10000</f>
        <v>2498.6301369863</v>
      </c>
      <c r="S10" s="49">
        <v>4.8</v>
      </c>
      <c r="T10" s="53" t="s">
        <v>65</v>
      </c>
      <c r="U10" s="54" t="s"/>
      <c r="V10" s="55" t="s"/>
      <c r="W10" s="55" t="s"/>
      <c r="X10" s="55" t="s"/>
      <c r="Y10" s="55" t="s"/>
      <c r="Z10" s="55" t="s"/>
      <c r="AA10" s="56" t="s"/>
      <c r="AB10" s="56" t="s"/>
      <c r="AC10" s="56" t="s"/>
      <c r="AD10" s="56" t="s"/>
    </row>
    <row r="11" spans="1:30" s="751" customFormat="1">
      <c r="A11" s="40" t="s">
        <v>66</v>
      </c>
      <c r="B11" s="40" t="s">
        <v>67</v>
      </c>
      <c r="C11" s="41" t="s">
        <v>68</v>
      </c>
      <c r="D11" s="40">
        <v>0.028</v>
      </c>
      <c r="E11" s="40">
        <v>0.024779</v>
      </c>
      <c r="F11" s="42" t="s">
        <v>43</v>
      </c>
      <c r="G11" s="43" t="s">
        <v>69</v>
      </c>
      <c r="H11" s="44" t="s">
        <v>35</v>
      </c>
      <c r="I11" s="45">
        <v>1000</v>
      </c>
      <c r="J11" s="46">
        <v>10255784.11</v>
      </c>
      <c r="K11" s="47">
        <v>46280</v>
      </c>
      <c r="L11" s="48">
        <f>NETWORKDAYS(K11,TODAY(),$A$143:$A$148)</f>
        <v>15</v>
      </c>
      <c r="M11" s="49" t="s"/>
      <c r="N11" s="42" t="s">
        <v>48</v>
      </c>
      <c r="O11" s="50" t="s"/>
      <c r="P11" s="40">
        <v>0.024244</v>
      </c>
      <c r="Q11" s="51">
        <v>23200</v>
      </c>
      <c r="R11" s="52">
        <f>E11*I11/365*10000</f>
        <v>678.876712328767</v>
      </c>
      <c r="S11" s="57">
        <v>5</v>
      </c>
      <c r="T11" s="53" t="s"/>
      <c r="U11" s="54" t="s"/>
      <c r="V11" s="55" t="s"/>
      <c r="W11" s="55" t="s"/>
      <c r="X11" s="55" t="s"/>
      <c r="Y11" s="55" t="s"/>
      <c r="Z11" s="55" t="s"/>
      <c r="AA11" s="56" t="s"/>
      <c r="AB11" s="56" t="s"/>
      <c r="AC11" s="56" t="s"/>
      <c r="AD11" s="56" t="s"/>
    </row>
    <row r="12" spans="1:30" s="751" customFormat="1">
      <c r="A12" s="40" t="s">
        <v>70</v>
      </c>
      <c r="B12" s="40" t="s">
        <v>71</v>
      </c>
      <c r="C12" s="41" t="s">
        <v>72</v>
      </c>
      <c r="D12" s="40">
        <v>0.0218</v>
      </c>
      <c r="E12" s="40">
        <v>0.020954</v>
      </c>
      <c r="F12" s="42" t="s">
        <v>50</v>
      </c>
      <c r="G12" s="43" t="s">
        <v>34</v>
      </c>
      <c r="H12" s="44" t="s">
        <v>35</v>
      </c>
      <c r="I12" s="45">
        <v>3000</v>
      </c>
      <c r="J12" s="46">
        <v>30127776.99</v>
      </c>
      <c r="K12" s="47">
        <v>46280</v>
      </c>
      <c r="L12" s="48">
        <f>NETWORKDAYS(K12,TODAY(),$A$143:$A$148)</f>
        <v>15</v>
      </c>
      <c r="M12" s="58" t="s"/>
      <c r="N12" s="42" t="s">
        <v>36</v>
      </c>
      <c r="O12" s="50" t="s"/>
      <c r="P12" s="40">
        <v>0.020672</v>
      </c>
      <c r="Q12" s="51">
        <v>23850</v>
      </c>
      <c r="R12" s="52">
        <f>E12*I12/365*10000</f>
        <v>1722.24657534247</v>
      </c>
      <c r="S12" s="57">
        <v>5</v>
      </c>
      <c r="T12" s="53" t="s"/>
      <c r="U12" s="54" t="s"/>
      <c r="V12" s="55" t="s"/>
      <c r="W12" s="55" t="s"/>
      <c r="X12" s="55" t="s"/>
      <c r="Y12" s="55" t="s"/>
      <c r="Z12" s="55" t="s"/>
      <c r="AA12" s="56" t="s"/>
      <c r="AB12" s="56" t="s"/>
      <c r="AC12" s="56" t="s"/>
      <c r="AD12" s="56" t="s"/>
    </row>
    <row r="13" spans="1:30" s="751" customFormat="1">
      <c r="A13" s="40" t="s">
        <v>73</v>
      </c>
      <c r="B13" s="40" t="s">
        <v>74</v>
      </c>
      <c r="C13" s="41" t="s">
        <v>75</v>
      </c>
      <c r="D13" s="40">
        <v>0.0259</v>
      </c>
      <c r="E13" s="40">
        <v>0.024182</v>
      </c>
      <c r="F13" s="42" t="s">
        <v>43</v>
      </c>
      <c r="G13" s="43" t="s">
        <v>34</v>
      </c>
      <c r="H13" s="44" t="s">
        <v>35</v>
      </c>
      <c r="I13" s="45">
        <v>2000</v>
      </c>
      <c r="J13" s="46">
        <v>20299032.88</v>
      </c>
      <c r="K13" s="47">
        <v>46280</v>
      </c>
      <c r="L13" s="48">
        <f>NETWORKDAYS(K13,TODAY(),$A$143:$A$148)</f>
        <v>15</v>
      </c>
      <c r="M13" s="49" t="s"/>
      <c r="N13" s="42" t="s">
        <v>48</v>
      </c>
      <c r="O13" s="50" t="s"/>
      <c r="P13" s="40">
        <v>0.023606</v>
      </c>
      <c r="Q13" s="51">
        <v>52640</v>
      </c>
      <c r="R13" s="52">
        <f>E13*I13/365*10000</f>
        <v>1325.04109589041</v>
      </c>
      <c r="S13" s="57">
        <v>5</v>
      </c>
      <c r="T13" s="53" t="s"/>
      <c r="U13" s="54" t="s"/>
      <c r="V13" s="55" t="s"/>
      <c r="W13" s="55" t="s"/>
      <c r="X13" s="55" t="s"/>
      <c r="Y13" s="55" t="s"/>
      <c r="Z13" s="55" t="s"/>
      <c r="AA13" s="56" t="s"/>
      <c r="AB13" s="56" t="s"/>
      <c r="AC13" s="56" t="s"/>
      <c r="AD13" s="56" t="s"/>
    </row>
    <row r="14" spans="1:30" s="751" customFormat="1">
      <c r="A14" s="40" t="s">
        <v>76</v>
      </c>
      <c r="B14" s="40" t="s">
        <v>77</v>
      </c>
      <c r="C14" s="41" t="s">
        <v>78</v>
      </c>
      <c r="D14" s="40">
        <v>0.0361</v>
      </c>
      <c r="E14" s="40">
        <v>0.023499</v>
      </c>
      <c r="F14" s="42" t="s">
        <v>33</v>
      </c>
      <c r="G14" s="43" t="s">
        <v>34</v>
      </c>
      <c r="H14" s="44" t="s">
        <v>35</v>
      </c>
      <c r="I14" s="45">
        <v>5000</v>
      </c>
      <c r="J14" s="46">
        <v>53059821.92</v>
      </c>
      <c r="K14" s="47">
        <v>46281</v>
      </c>
      <c r="L14" s="48">
        <f>NETWORKDAYS(K14,TODAY(),$A$143:$A$148)</f>
        <v>14</v>
      </c>
      <c r="M14" s="49" t="s"/>
      <c r="N14" s="42" t="s">
        <v>54</v>
      </c>
      <c r="O14" s="50" t="s"/>
      <c r="P14" s="40">
        <v>0.021564</v>
      </c>
      <c r="Q14" s="51">
        <v>333700</v>
      </c>
      <c r="R14" s="52">
        <f>E14*I14/365*10000</f>
        <v>3219.04109589041</v>
      </c>
      <c r="S14" s="57">
        <v>9</v>
      </c>
      <c r="T14" s="53" t="s"/>
      <c r="U14" s="54" t="s"/>
      <c r="V14" s="55" t="s"/>
      <c r="W14" s="55" t="s"/>
      <c r="X14" s="55" t="s"/>
      <c r="Y14" s="55" t="s"/>
      <c r="Z14" s="55" t="s"/>
      <c r="AA14" s="56" t="s"/>
      <c r="AB14" s="56" t="s"/>
      <c r="AC14" s="56" t="s"/>
      <c r="AD14" s="56" t="s"/>
    </row>
    <row r="15" spans="1:30" s="751" customFormat="1">
      <c r="A15" s="40" t="s">
        <v>79</v>
      </c>
      <c r="B15" s="40" t="s">
        <v>80</v>
      </c>
      <c r="C15" s="41" t="s">
        <v>81</v>
      </c>
      <c r="D15" s="40">
        <v>0.0296</v>
      </c>
      <c r="E15" s="40">
        <v>0.022999</v>
      </c>
      <c r="F15" s="42" t="s">
        <v>33</v>
      </c>
      <c r="G15" s="43" t="s">
        <v>34</v>
      </c>
      <c r="H15" s="44" t="s">
        <v>35</v>
      </c>
      <c r="I15" s="45">
        <v>5000</v>
      </c>
      <c r="J15" s="46">
        <v>51561424.66</v>
      </c>
      <c r="K15" s="47">
        <v>46281</v>
      </c>
      <c r="L15" s="48">
        <f>NETWORKDAYS(K15,TODAY(),$A$143:$A$148)</f>
        <v>14</v>
      </c>
      <c r="M15" s="49" t="s"/>
      <c r="N15" s="42" t="s">
        <v>54</v>
      </c>
      <c r="O15" s="50" t="s"/>
      <c r="P15" s="40">
        <v>0.021054</v>
      </c>
      <c r="Q15" s="51">
        <v>356150</v>
      </c>
      <c r="R15" s="52">
        <f>E15*I15/365*10000</f>
        <v>3150.54794520548</v>
      </c>
      <c r="S15" s="57">
        <v>7</v>
      </c>
      <c r="T15" s="53" t="s"/>
      <c r="U15" s="54" t="s"/>
      <c r="V15" s="55" t="s"/>
      <c r="W15" s="55" t="s"/>
      <c r="X15" s="55" t="s"/>
      <c r="Y15" s="55" t="s"/>
      <c r="Z15" s="55" t="s"/>
      <c r="AA15" s="56" t="s"/>
      <c r="AB15" s="56" t="s"/>
      <c r="AC15" s="56" t="s"/>
      <c r="AD15" s="56" t="s"/>
    </row>
    <row r="16" spans="1:30" s="751" customFormat="1">
      <c r="A16" s="40" t="s">
        <v>82</v>
      </c>
      <c r="B16" s="40" t="s">
        <v>83</v>
      </c>
      <c r="C16" s="41" t="s">
        <v>84</v>
      </c>
      <c r="D16" s="40">
        <v>0.034</v>
      </c>
      <c r="E16" s="40">
        <v>0.027385</v>
      </c>
      <c r="F16" s="42" t="s">
        <v>43</v>
      </c>
      <c r="G16" s="43" t="s">
        <v>34</v>
      </c>
      <c r="H16" s="44" t="s">
        <v>35</v>
      </c>
      <c r="I16" s="45">
        <v>1000</v>
      </c>
      <c r="J16" s="46">
        <v>10519458.9</v>
      </c>
      <c r="K16" s="47">
        <v>46281</v>
      </c>
      <c r="L16" s="48">
        <f>NETWORKDAYS(K16,TODAY(),$A$143:$A$148)</f>
        <v>14</v>
      </c>
      <c r="M16" s="49" t="s"/>
      <c r="N16" s="42" t="s">
        <v>54</v>
      </c>
      <c r="O16" s="50" t="s"/>
      <c r="P16" s="40">
        <v>0.027232</v>
      </c>
      <c r="Q16" s="51">
        <v>6320</v>
      </c>
      <c r="R16" s="52">
        <f>E16*I16/365*10000</f>
        <v>750.27397260274</v>
      </c>
      <c r="S16" s="57">
        <v>1.8</v>
      </c>
      <c r="T16" s="53" t="s"/>
      <c r="U16" s="54" t="s"/>
      <c r="V16" s="55" t="s"/>
      <c r="W16" s="55" t="s"/>
      <c r="X16" s="55" t="s"/>
      <c r="Y16" s="55" t="s"/>
      <c r="Z16" s="55" t="s"/>
      <c r="AA16" s="56" t="s"/>
      <c r="AB16" s="56" t="s"/>
      <c r="AC16" s="56" t="s"/>
      <c r="AD16" s="56" t="s"/>
    </row>
    <row r="17" spans="1:30" s="751" customFormat="1">
      <c r="A17" s="40" t="s">
        <v>85</v>
      </c>
      <c r="B17" s="40" t="s">
        <v>86</v>
      </c>
      <c r="C17" s="41" t="s">
        <v>87</v>
      </c>
      <c r="D17" s="40">
        <v>0.0222</v>
      </c>
      <c r="E17" s="40">
        <v>0.021612</v>
      </c>
      <c r="F17" s="42" t="s">
        <v>33</v>
      </c>
      <c r="G17" s="43" t="s">
        <v>34</v>
      </c>
      <c r="H17" s="44" t="s">
        <v>35</v>
      </c>
      <c r="I17" s="45">
        <v>1000</v>
      </c>
      <c r="J17" s="46">
        <v>10056410.96</v>
      </c>
      <c r="K17" s="47">
        <v>46281</v>
      </c>
      <c r="L17" s="48">
        <f>NETWORKDAYS(K17,TODAY(),$A$143:$A$148)</f>
        <v>14</v>
      </c>
      <c r="M17" s="49" t="s"/>
      <c r="N17" s="42" t="s">
        <v>48</v>
      </c>
      <c r="O17" s="50" t="s"/>
      <c r="P17" s="40">
        <v>0.020215</v>
      </c>
      <c r="Q17" s="51">
        <v>64920</v>
      </c>
      <c r="R17" s="52">
        <f>E17*I17/365*10000</f>
        <v>592.109589041096</v>
      </c>
      <c r="S17" s="57">
        <v>5</v>
      </c>
      <c r="T17" s="53" t="s">
        <v>88</v>
      </c>
      <c r="U17" s="54" t="s"/>
      <c r="V17" s="55" t="s"/>
      <c r="W17" s="55" t="s"/>
      <c r="X17" s="55" t="s"/>
      <c r="Y17" s="55" t="s"/>
      <c r="Z17" s="55" t="s"/>
      <c r="AA17" s="56" t="s"/>
      <c r="AB17" s="56" t="s"/>
      <c r="AC17" s="56" t="s"/>
      <c r="AD17" s="56" t="s"/>
    </row>
    <row r="18" spans="1:30" s="751" customFormat="1">
      <c r="A18" s="40" t="s">
        <v>89</v>
      </c>
      <c r="B18" s="40" t="s">
        <v>90</v>
      </c>
      <c r="C18" s="41" t="s">
        <v>91</v>
      </c>
      <c r="D18" s="40">
        <v>0.0348</v>
      </c>
      <c r="E18" s="40">
        <v>0.027197</v>
      </c>
      <c r="F18" s="42" t="s">
        <v>43</v>
      </c>
      <c r="G18" s="43" t="s">
        <v>34</v>
      </c>
      <c r="H18" s="44" t="s">
        <v>35</v>
      </c>
      <c r="I18" s="45">
        <v>1000</v>
      </c>
      <c r="J18" s="46">
        <v>10478875.34</v>
      </c>
      <c r="K18" s="47">
        <v>46282</v>
      </c>
      <c r="L18" s="48">
        <f>NETWORKDAYS(K18,TODAY(),$A$143:$A$148)</f>
        <v>13</v>
      </c>
      <c r="M18" s="49" t="s"/>
      <c r="N18" s="42" t="s">
        <v>36</v>
      </c>
      <c r="O18" s="50" t="s"/>
      <c r="P18" s="40">
        <v>0.02655</v>
      </c>
      <c r="Q18" s="51">
        <v>29070</v>
      </c>
      <c r="R18" s="52">
        <f>E18*I18/365*10000</f>
        <v>745.123287671233</v>
      </c>
      <c r="S18" s="57">
        <v>4.2</v>
      </c>
      <c r="T18" s="53" t="s"/>
      <c r="U18" s="54" t="s"/>
      <c r="V18" s="55" t="s"/>
      <c r="W18" s="55" t="s"/>
      <c r="X18" s="55" t="s"/>
      <c r="Y18" s="55" t="s"/>
      <c r="Z18" s="55" t="s"/>
      <c r="AA18" s="56" t="s"/>
      <c r="AB18" s="56" t="s"/>
      <c r="AC18" s="56" t="s"/>
      <c r="AD18" s="56" t="s"/>
    </row>
    <row r="19" spans="1:30" s="751" customFormat="1">
      <c r="A19" s="59" t="s">
        <v>92</v>
      </c>
      <c r="B19" s="59" t="s">
        <v>93</v>
      </c>
      <c r="C19" s="41" t="s">
        <v>94</v>
      </c>
      <c r="D19" s="59">
        <v>0.029</v>
      </c>
      <c r="E19" s="59">
        <v>0.027482</v>
      </c>
      <c r="F19" s="42" t="s">
        <v>33</v>
      </c>
      <c r="G19" s="60" t="s">
        <v>34</v>
      </c>
      <c r="H19" s="44" t="s">
        <v>35</v>
      </c>
      <c r="I19" s="44">
        <v>3000</v>
      </c>
      <c r="J19" s="61">
        <v>30270747.95</v>
      </c>
      <c r="K19" s="62">
        <v>46282</v>
      </c>
      <c r="L19" s="48">
        <f>NETWORKDAYS(K19,TODAY(),$A$143:$A$148)</f>
        <v>13</v>
      </c>
      <c r="M19" s="63" t="s"/>
      <c r="N19" s="42" t="s">
        <v>36</v>
      </c>
      <c r="O19" s="64" t="s"/>
      <c r="P19" s="59">
        <v>0.026728</v>
      </c>
      <c r="Q19" s="61">
        <v>63600</v>
      </c>
      <c r="R19" s="52">
        <f>E19*I19/365*10000</f>
        <v>2258.79452054795</v>
      </c>
      <c r="S19" s="63">
        <v>2</v>
      </c>
      <c r="T19" s="65" t="s"/>
      <c r="U19" s="66" t="s"/>
      <c r="V19" s="56" t="s"/>
      <c r="W19" s="56" t="s"/>
      <c r="X19" s="56" t="s"/>
      <c r="Y19" s="56" t="s"/>
      <c r="Z19" s="56" t="s"/>
      <c r="AA19" s="56" t="s"/>
      <c r="AB19" s="56" t="s"/>
      <c r="AC19" s="56" t="s"/>
      <c r="AD19" s="56" t="s"/>
    </row>
    <row r="20" spans="1:30" s="751" customFormat="1">
      <c r="A20" s="40" t="s">
        <v>95</v>
      </c>
      <c r="B20" s="40" t="s">
        <v>2369</v>
      </c>
      <c r="C20" s="41" t="s">
        <v>96</v>
      </c>
      <c r="D20" s="40">
        <v>0.028</v>
      </c>
      <c r="E20" s="40">
        <v>0.02169</v>
      </c>
      <c r="F20" s="42" t="s">
        <v>50</v>
      </c>
      <c r="G20" s="43" t="s">
        <v>34</v>
      </c>
      <c r="H20" s="44" t="s">
        <v>35</v>
      </c>
      <c r="I20" s="45">
        <v>1200</v>
      </c>
      <c r="J20" s="46">
        <v>12348687.12</v>
      </c>
      <c r="K20" s="47">
        <v>46283</v>
      </c>
      <c r="L20" s="48">
        <f>NETWORKDAYS(K20,TODAY(),$A$143:$A$148)</f>
        <v>12</v>
      </c>
      <c r="M20" s="49" t="s"/>
      <c r="N20" s="42" t="s">
        <v>54</v>
      </c>
      <c r="O20" s="50" t="s"/>
      <c r="P20" s="40">
        <v>0.02002</v>
      </c>
      <c r="Q20" s="51">
        <v>12348687.12</v>
      </c>
      <c r="R20" s="52">
        <f>E20*I20/365*10000</f>
        <v>713.095890410959</v>
      </c>
      <c r="S20" s="57">
        <v>6</v>
      </c>
      <c r="T20" s="53" t="s"/>
      <c r="U20" s="54" t="s"/>
      <c r="V20" s="55" t="s"/>
      <c r="W20" s="55" t="s"/>
      <c r="X20" s="55" t="s"/>
      <c r="Y20" s="55" t="s"/>
      <c r="Z20" s="55" t="s"/>
      <c r="AA20" s="56" t="s"/>
      <c r="AB20" s="56" t="s"/>
      <c r="AC20" s="56" t="s"/>
      <c r="AD20" s="56" t="s"/>
    </row>
    <row r="21" spans="1:30" s="751" customFormat="1">
      <c r="A21" s="40" t="s">
        <v>97</v>
      </c>
      <c r="B21" s="40" t="s">
        <v>2370</v>
      </c>
      <c r="C21" s="41" t="s">
        <v>98</v>
      </c>
      <c r="D21" s="40">
        <v>0.0362</v>
      </c>
      <c r="E21" s="40">
        <v>0.021976</v>
      </c>
      <c r="F21" s="42" t="s">
        <v>33</v>
      </c>
      <c r="G21" s="43" t="s">
        <v>34</v>
      </c>
      <c r="H21" s="44" t="s">
        <v>35</v>
      </c>
      <c r="I21" s="45">
        <v>3000</v>
      </c>
      <c r="J21" s="46">
        <v>32066531.51</v>
      </c>
      <c r="K21" s="47">
        <v>46283</v>
      </c>
      <c r="L21" s="48">
        <f>NETWORKDAYS(K21,TODAY(),$A$143:$A$148)</f>
        <v>12</v>
      </c>
      <c r="M21" s="49" t="s"/>
      <c r="N21" s="42" t="s">
        <v>54</v>
      </c>
      <c r="O21" s="50" t="s"/>
      <c r="P21" s="40">
        <v>0.020213</v>
      </c>
      <c r="Q21" s="51">
        <v>179130</v>
      </c>
      <c r="R21" s="52">
        <f>E21*I21/365*10000</f>
        <v>1806.24657534247</v>
      </c>
      <c r="S21" s="57">
        <v>7</v>
      </c>
      <c r="T21" s="53" t="s"/>
      <c r="U21" s="54" t="s"/>
      <c r="V21" s="55" t="s"/>
      <c r="W21" s="55" t="s"/>
      <c r="X21" s="55" t="s"/>
      <c r="Y21" s="55" t="s"/>
      <c r="Z21" s="55" t="s"/>
      <c r="AA21" s="56" t="s"/>
      <c r="AB21" s="56" t="s"/>
      <c r="AC21" s="56" t="s"/>
      <c r="AD21" s="56" t="s"/>
    </row>
    <row r="22" spans="1:30" s="751" customFormat="1">
      <c r="A22" s="67" t="s">
        <v>99</v>
      </c>
      <c r="B22" s="68" t="s">
        <v>2371</v>
      </c>
      <c r="C22" s="41" t="s">
        <v>100</v>
      </c>
      <c r="D22" s="40">
        <v>0.0309</v>
      </c>
      <c r="E22" s="40">
        <v>0.022998</v>
      </c>
      <c r="F22" s="42" t="s">
        <v>43</v>
      </c>
      <c r="G22" s="43" t="s">
        <v>64</v>
      </c>
      <c r="H22" s="44" t="s">
        <v>35</v>
      </c>
      <c r="I22" s="45">
        <v>3000</v>
      </c>
      <c r="J22" s="46">
        <v>31690578.08</v>
      </c>
      <c r="K22" s="47">
        <v>46286</v>
      </c>
      <c r="L22" s="48">
        <f>NETWORKDAYS(K22,TODAY(),$A$143:$A$148)</f>
        <v>11</v>
      </c>
      <c r="M22" s="49" t="s"/>
      <c r="N22" s="42" t="s">
        <v>54</v>
      </c>
      <c r="O22" s="50" t="s"/>
      <c r="P22" s="40">
        <v>0.022691</v>
      </c>
      <c r="Q22" s="51">
        <v>40290</v>
      </c>
      <c r="R22" s="52">
        <f>E22*I22/365*10000</f>
        <v>1890.24657534247</v>
      </c>
      <c r="S22" s="57">
        <v>4</v>
      </c>
      <c r="T22" s="53" t="s">
        <v>101</v>
      </c>
      <c r="U22" s="54" t="s"/>
      <c r="V22" s="55" t="s"/>
      <c r="W22" s="55" t="s"/>
      <c r="X22" s="55" t="s"/>
      <c r="Y22" s="55" t="s"/>
      <c r="Z22" s="55" t="s"/>
      <c r="AA22" s="56" t="s"/>
      <c r="AB22" s="56" t="s"/>
      <c r="AC22" s="56" t="s"/>
      <c r="AD22" s="56" t="s"/>
    </row>
    <row r="23" spans="1:30" s="751" customFormat="1">
      <c r="A23" s="67" t="s">
        <v>102</v>
      </c>
      <c r="B23" s="67" t="s">
        <v>2372</v>
      </c>
      <c r="C23" s="41" t="s">
        <v>103</v>
      </c>
      <c r="D23" s="40">
        <v>0.0327</v>
      </c>
      <c r="E23" s="40">
        <v>0.020995</v>
      </c>
      <c r="F23" s="42" t="s">
        <v>43</v>
      </c>
      <c r="G23" s="43" t="s">
        <v>34</v>
      </c>
      <c r="H23" s="44" t="s">
        <v>35</v>
      </c>
      <c r="I23" s="45">
        <v>3000</v>
      </c>
      <c r="J23" s="46">
        <v>31683583.56</v>
      </c>
      <c r="K23" s="47">
        <v>46286</v>
      </c>
      <c r="L23" s="48">
        <f>NETWORKDAYS(K23,TODAY(),$A$143:$A$148)</f>
        <v>11</v>
      </c>
      <c r="M23" s="49" t="s"/>
      <c r="N23" s="42" t="s">
        <v>54</v>
      </c>
      <c r="O23" s="50" t="s"/>
      <c r="P23" s="40">
        <v>0.021418</v>
      </c>
      <c r="Q23" s="51">
        <v>-39540</v>
      </c>
      <c r="R23" s="52">
        <f>E23*I23/365*10000</f>
        <v>1725.61643835616</v>
      </c>
      <c r="S23" s="57">
        <v>3.1</v>
      </c>
      <c r="T23" s="53" t="s"/>
      <c r="U23" s="54" t="s"/>
      <c r="V23" s="55" t="s"/>
      <c r="W23" s="55" t="s"/>
      <c r="X23" s="55" t="s"/>
      <c r="Y23" s="55" t="s"/>
      <c r="Z23" s="55" t="s"/>
      <c r="AA23" s="56" t="s"/>
      <c r="AB23" s="56" t="s"/>
      <c r="AC23" s="56" t="s"/>
      <c r="AD23" s="56" t="s"/>
    </row>
    <row r="24" spans="1:30" s="751" customFormat="1">
      <c r="A24" s="67" t="s">
        <v>104</v>
      </c>
      <c r="B24" s="67" t="s">
        <v>2373</v>
      </c>
      <c r="C24" s="41" t="s">
        <v>105</v>
      </c>
      <c r="D24" s="40">
        <v>0.0189</v>
      </c>
      <c r="E24" s="40">
        <v>0.0188</v>
      </c>
      <c r="F24" s="42" t="s">
        <v>50</v>
      </c>
      <c r="G24" s="43" t="s">
        <v>34</v>
      </c>
      <c r="H24" s="44" t="s">
        <v>35</v>
      </c>
      <c r="I24" s="45">
        <v>5000</v>
      </c>
      <c r="J24" s="46">
        <v>50069691.78</v>
      </c>
      <c r="K24" s="47">
        <v>46286</v>
      </c>
      <c r="L24" s="48">
        <f>NETWORKDAYS(K24,TODAY(),$A$143:$A$148)</f>
        <v>11</v>
      </c>
      <c r="M24" s="49" t="s"/>
      <c r="N24" s="42" t="s">
        <v>36</v>
      </c>
      <c r="O24" s="50" t="s"/>
      <c r="P24" s="40">
        <v>0.018671</v>
      </c>
      <c r="Q24" s="51">
        <v>32800</v>
      </c>
      <c r="R24" s="52">
        <f>E24*I24/365*10000</f>
        <v>2575.34246575343</v>
      </c>
      <c r="S24" s="57">
        <v>5</v>
      </c>
      <c r="T24" s="53" t="s"/>
      <c r="U24" s="54" t="s"/>
      <c r="V24" s="55" t="s"/>
      <c r="W24" s="55" t="s"/>
      <c r="X24" s="55" t="s"/>
      <c r="Y24" s="55" t="s"/>
      <c r="Z24" s="55" t="s"/>
      <c r="AA24" s="56" t="s"/>
      <c r="AB24" s="56" t="s"/>
      <c r="AC24" s="56" t="s"/>
      <c r="AD24" s="56" t="s"/>
    </row>
    <row r="25" spans="1:30" s="751" customFormat="1">
      <c r="A25" s="67" t="s">
        <v>106</v>
      </c>
      <c r="B25" s="67" t="s">
        <v>2374</v>
      </c>
      <c r="C25" s="41" t="s">
        <v>75</v>
      </c>
      <c r="D25" s="40">
        <v>0.0279</v>
      </c>
      <c r="E25" s="40">
        <v>0.026489</v>
      </c>
      <c r="F25" s="42" t="s">
        <v>43</v>
      </c>
      <c r="G25" s="43" t="s">
        <v>34</v>
      </c>
      <c r="H25" s="44" t="s">
        <v>35</v>
      </c>
      <c r="I25" s="45">
        <v>2000</v>
      </c>
      <c r="J25" s="46">
        <v>20288364.38</v>
      </c>
      <c r="K25" s="47">
        <v>46286</v>
      </c>
      <c r="L25" s="48">
        <f>NETWORKDAYS(K25,TODAY(),$A$143:$A$148)</f>
        <v>11</v>
      </c>
      <c r="M25" s="49" t="s"/>
      <c r="N25" s="42" t="s">
        <v>48</v>
      </c>
      <c r="O25" s="50" t="s"/>
      <c r="P25" s="40">
        <v>0.024883</v>
      </c>
      <c r="Q25" s="51">
        <v>143140</v>
      </c>
      <c r="R25" s="52">
        <f>E25*I25/365*10000</f>
        <v>1451.45205479452</v>
      </c>
      <c r="S25" s="57">
        <v>10.5</v>
      </c>
      <c r="T25" s="53" t="s"/>
      <c r="U25" s="54" t="s"/>
      <c r="V25" s="55" t="s"/>
      <c r="W25" s="55" t="s"/>
      <c r="X25" s="55" t="s"/>
      <c r="Y25" s="55" t="s"/>
      <c r="Z25" s="55" t="s"/>
      <c r="AA25" s="56" t="s"/>
      <c r="AB25" s="56" t="s"/>
      <c r="AC25" s="56" t="s"/>
      <c r="AD25" s="56" t="s"/>
    </row>
    <row r="26" spans="1:30" s="751" customFormat="1">
      <c r="A26" s="40" t="s">
        <v>107</v>
      </c>
      <c r="B26" s="67" t="s">
        <v>2375</v>
      </c>
      <c r="C26" s="41" t="s">
        <v>108</v>
      </c>
      <c r="D26" s="40">
        <v>0.03</v>
      </c>
      <c r="E26" s="40">
        <v>0.028994</v>
      </c>
      <c r="F26" s="42" t="s">
        <v>43</v>
      </c>
      <c r="G26" s="43" t="s">
        <v>34</v>
      </c>
      <c r="H26" s="44" t="s">
        <v>35</v>
      </c>
      <c r="I26" s="45">
        <v>5000</v>
      </c>
      <c r="J26" s="46">
        <v>50368945.21</v>
      </c>
      <c r="K26" s="47">
        <v>46287</v>
      </c>
      <c r="L26" s="48">
        <f>NETWORKDAYS(K26,TODAY(),$A$143:$A$148)</f>
        <v>10</v>
      </c>
      <c r="M26" s="49" t="s"/>
      <c r="N26" s="42" t="s">
        <v>36</v>
      </c>
      <c r="O26" s="50" t="s"/>
      <c r="P26" s="40">
        <v>0.028433</v>
      </c>
      <c r="Q26" s="51">
        <v>131300</v>
      </c>
      <c r="R26" s="52">
        <f>E26*I26/365*10000</f>
        <v>3971.78082191781</v>
      </c>
      <c r="S26" s="57">
        <v>15</v>
      </c>
      <c r="T26" s="53" t="s"/>
      <c r="U26" s="54" t="s"/>
      <c r="V26" s="55" t="s"/>
      <c r="W26" s="55" t="s"/>
      <c r="X26" s="55" t="s"/>
      <c r="Y26" s="55" t="s"/>
      <c r="Z26" s="55" t="s"/>
      <c r="AA26" s="56" t="s"/>
      <c r="AB26" s="56" t="s"/>
      <c r="AC26" s="56" t="s"/>
      <c r="AD26" s="56" t="s"/>
    </row>
    <row r="27" spans="1:30" s="751" customFormat="1">
      <c r="A27" s="40" t="s">
        <v>109</v>
      </c>
      <c r="B27" s="69" t="s">
        <v>110</v>
      </c>
      <c r="C27" s="41" t="s">
        <v>111</v>
      </c>
      <c r="D27" s="40">
        <v>0.0223</v>
      </c>
      <c r="E27" s="40">
        <v>0.02146</v>
      </c>
      <c r="F27" s="42" t="s"/>
      <c r="G27" s="43" t="s">
        <v>34</v>
      </c>
      <c r="H27" s="44" t="s">
        <v>35</v>
      </c>
      <c r="I27" s="45">
        <v>1000</v>
      </c>
      <c r="J27" s="46">
        <v>10238106.78</v>
      </c>
      <c r="K27" s="47">
        <v>46287</v>
      </c>
      <c r="L27" s="48">
        <f>NETWORKDAYS(K27,TODAY(),$A$143:$A$148)</f>
        <v>10</v>
      </c>
      <c r="M27" s="49" t="s"/>
      <c r="N27" s="42" t="s">
        <v>112</v>
      </c>
      <c r="O27" s="50" t="s"/>
      <c r="P27" s="40">
        <v>0.02147</v>
      </c>
      <c r="Q27" s="51">
        <v>-2200</v>
      </c>
      <c r="R27" s="52">
        <f>E27*I27/365*10000</f>
        <v>587.945205479452</v>
      </c>
      <c r="S27" s="57">
        <v>3180</v>
      </c>
      <c r="T27" s="53" t="s"/>
      <c r="U27" s="54" t="s"/>
      <c r="V27" s="55" t="s"/>
      <c r="W27" s="55" t="s"/>
      <c r="X27" s="55" t="s"/>
      <c r="Y27" s="55" t="s"/>
      <c r="Z27" s="55" t="s"/>
      <c r="AA27" s="56" t="s"/>
      <c r="AB27" s="56" t="s"/>
      <c r="AC27" s="56" t="s"/>
      <c r="AD27" s="56" t="s"/>
    </row>
    <row r="28" spans="1:30" s="751" customFormat="1">
      <c r="A28" s="40" t="s">
        <v>116</v>
      </c>
      <c r="B28" s="69" t="s">
        <v>117</v>
      </c>
      <c r="C28" s="41" t="s">
        <v>118</v>
      </c>
      <c r="D28" s="40">
        <v>0.0348</v>
      </c>
      <c r="E28" s="40">
        <v>0.024997</v>
      </c>
      <c r="F28" s="42" t="s">
        <v>43</v>
      </c>
      <c r="G28" s="43" t="s">
        <v>34</v>
      </c>
      <c r="H28" s="44" t="s">
        <v>35</v>
      </c>
      <c r="I28" s="45">
        <v>6000</v>
      </c>
      <c r="J28" s="46">
        <v>63962317.81</v>
      </c>
      <c r="K28" s="47">
        <v>46288</v>
      </c>
      <c r="L28" s="48">
        <f>NETWORKDAYS(K28,TODAY(),$A$143:$A$148)</f>
        <v>9</v>
      </c>
      <c r="M28" s="49" t="s"/>
      <c r="N28" s="42" t="s">
        <v>54</v>
      </c>
      <c r="O28" s="50" t="s"/>
      <c r="P28" s="40">
        <v>0.023846</v>
      </c>
      <c r="Q28" s="51">
        <v>288120</v>
      </c>
      <c r="R28" s="52">
        <f>E28*I28/365*10000</f>
        <v>4109.09589041096</v>
      </c>
      <c r="S28" s="57">
        <v>10</v>
      </c>
      <c r="T28" s="53" t="s"/>
      <c r="U28" s="54" t="s"/>
      <c r="V28" s="55" t="s"/>
      <c r="W28" s="55" t="s"/>
      <c r="X28" s="55" t="s"/>
      <c r="Y28" s="55" t="s"/>
      <c r="Z28" s="55" t="s"/>
      <c r="AA28" s="56" t="s"/>
      <c r="AB28" s="56" t="s"/>
      <c r="AC28" s="56" t="s"/>
      <c r="AD28" s="56" t="s"/>
    </row>
    <row r="29" spans="1:30" s="751" customFormat="1" ht="16.5" customHeight="1">
      <c r="A29" s="40" t="s">
        <v>119</v>
      </c>
      <c r="B29" s="69" t="s">
        <v>120</v>
      </c>
      <c r="C29" s="41" t="s">
        <v>121</v>
      </c>
      <c r="D29" s="40">
        <v>0.029</v>
      </c>
      <c r="E29" s="40">
        <v>0.021397</v>
      </c>
      <c r="F29" s="42" t="s">
        <v>33</v>
      </c>
      <c r="G29" s="43" t="s">
        <v>34</v>
      </c>
      <c r="H29" s="44" t="s">
        <v>35</v>
      </c>
      <c r="I29" s="45">
        <v>2000</v>
      </c>
      <c r="J29" s="46">
        <v>21001780.82</v>
      </c>
      <c r="K29" s="47">
        <v>46288</v>
      </c>
      <c r="L29" s="48">
        <f>NETWORKDAYS(K29,TODAY(),$A$143:$A$148)</f>
        <v>9</v>
      </c>
      <c r="M29" s="49" t="s"/>
      <c r="N29" s="42" t="s">
        <v>54</v>
      </c>
      <c r="O29" s="50" t="s"/>
      <c r="P29" s="40">
        <v>0.020989</v>
      </c>
      <c r="Q29" s="51">
        <v>36220</v>
      </c>
      <c r="R29" s="52">
        <f>E29*I29/365*10000</f>
        <v>1172.43835616438</v>
      </c>
      <c r="S29" s="57">
        <v>2</v>
      </c>
      <c r="T29" s="53" t="s"/>
      <c r="U29" s="54" t="s"/>
      <c r="V29" s="55" t="s"/>
      <c r="W29" s="55" t="s"/>
      <c r="X29" s="55" t="s"/>
      <c r="Y29" s="55" t="s"/>
      <c r="Z29" s="55" t="s"/>
      <c r="AA29" s="56" t="s"/>
      <c r="AB29" s="56" t="s"/>
      <c r="AC29" s="56" t="s"/>
      <c r="AD29" s="56" t="s"/>
    </row>
    <row r="30" spans="1:30" s="751" customFormat="1" ht="16.5" customHeight="1">
      <c r="A30" s="40" t="s">
        <v>61</v>
      </c>
      <c r="B30" s="69" t="s">
        <v>62</v>
      </c>
      <c r="C30" s="41" t="s">
        <v>63</v>
      </c>
      <c r="D30" s="40">
        <v>0.0328</v>
      </c>
      <c r="E30" s="40">
        <v>0.031316</v>
      </c>
      <c r="F30" s="42" t="s">
        <v>33</v>
      </c>
      <c r="G30" s="43" t="s">
        <v>64</v>
      </c>
      <c r="H30" s="44" t="s">
        <v>35</v>
      </c>
      <c r="I30" s="45">
        <v>2000</v>
      </c>
      <c r="J30" s="46">
        <v>20317466.3</v>
      </c>
      <c r="K30" s="47">
        <v>46288</v>
      </c>
      <c r="L30" s="48">
        <f>NETWORKDAYS(K30,TODAY(),$A$143:$A$148)</f>
        <v>9</v>
      </c>
      <c r="M30" s="49" t="s"/>
      <c r="N30" s="42" t="s">
        <v>48</v>
      </c>
      <c r="O30" s="50" t="s"/>
      <c r="P30" s="40">
        <v>0.029931</v>
      </c>
      <c r="Q30" s="51">
        <v>168960</v>
      </c>
      <c r="R30" s="52">
        <f>E30*I30/365*10000</f>
        <v>1715.94520547945</v>
      </c>
      <c r="S30" s="57">
        <v>4.8</v>
      </c>
      <c r="T30" s="53" t="s"/>
      <c r="U30" s="54" t="s"/>
      <c r="V30" s="55" t="s"/>
      <c r="W30" s="55" t="s"/>
      <c r="X30" s="55" t="s"/>
      <c r="Y30" s="55" t="s"/>
      <c r="Z30" s="55" t="s"/>
      <c r="AA30" s="56" t="s"/>
      <c r="AB30" s="56" t="s"/>
      <c r="AC30" s="56" t="s"/>
      <c r="AD30" s="56" t="s"/>
    </row>
    <row r="31" spans="1:30" s="751" customFormat="1" ht="16.5" customHeight="1">
      <c r="A31" s="40" t="s">
        <v>106</v>
      </c>
      <c r="B31" s="69" t="s">
        <v>122</v>
      </c>
      <c r="C31" s="41" t="s">
        <v>123</v>
      </c>
      <c r="D31" s="40">
        <v>0.0279</v>
      </c>
      <c r="E31" s="40">
        <v>0.027001</v>
      </c>
      <c r="F31" s="42" t="s">
        <v>43</v>
      </c>
      <c r="G31" s="43" t="s">
        <v>34</v>
      </c>
      <c r="H31" s="44" t="s">
        <v>35</v>
      </c>
      <c r="I31" s="45">
        <v>2000</v>
      </c>
      <c r="J31" s="46">
        <v>20246421.92</v>
      </c>
      <c r="K31" s="47">
        <v>46288</v>
      </c>
      <c r="L31" s="48">
        <f>NETWORKDAYS(K31,TODAY(),$A$143:$A$148)</f>
        <v>9</v>
      </c>
      <c r="M31" s="49" t="s"/>
      <c r="N31" s="42" t="s">
        <v>44</v>
      </c>
      <c r="O31" s="50" t="s"/>
      <c r="P31" s="40">
        <v>0.024806</v>
      </c>
      <c r="Q31" s="51">
        <v>194600</v>
      </c>
      <c r="R31" s="52">
        <f>E31*I31/365*10000</f>
        <v>1479.50684931507</v>
      </c>
      <c r="S31" s="57">
        <v>10.5</v>
      </c>
      <c r="T31" s="53" t="s"/>
      <c r="U31" s="54" t="s"/>
      <c r="V31" s="55" t="s"/>
      <c r="W31" s="55" t="s"/>
      <c r="X31" s="55" t="s"/>
      <c r="Y31" s="55" t="s"/>
      <c r="Z31" s="55" t="s"/>
      <c r="AA31" s="56" t="s"/>
      <c r="AB31" s="56" t="s"/>
      <c r="AC31" s="56" t="s"/>
      <c r="AD31" s="56" t="s"/>
    </row>
    <row r="32" spans="1:30" s="751" customFormat="1" ht="16.5" customHeight="1">
      <c r="A32" s="40" t="s">
        <v>40</v>
      </c>
      <c r="B32" s="69" t="s">
        <v>41</v>
      </c>
      <c r="C32" s="41" t="s">
        <v>124</v>
      </c>
      <c r="D32" s="40">
        <v>0.03</v>
      </c>
      <c r="E32" s="40">
        <v>0.025001</v>
      </c>
      <c r="F32" s="42" t="s">
        <v>43</v>
      </c>
      <c r="G32" s="43" t="s">
        <v>34</v>
      </c>
      <c r="H32" s="44" t="s">
        <v>35</v>
      </c>
      <c r="I32" s="45">
        <v>1500</v>
      </c>
      <c r="J32" s="46">
        <v>15473475.21</v>
      </c>
      <c r="K32" s="47">
        <v>46288</v>
      </c>
      <c r="L32" s="48">
        <f>NETWORKDAYS(K32,TODAY(),$A$143:$A$148)</f>
        <v>9</v>
      </c>
      <c r="M32" s="49" t="s"/>
      <c r="N32" s="42" t="s">
        <v>48</v>
      </c>
      <c r="O32" s="50" t="s"/>
      <c r="P32" s="40">
        <v>0.024235</v>
      </c>
      <c r="Q32" s="51">
        <v>51120</v>
      </c>
      <c r="R32" s="52">
        <f>E32*I32/365*10000</f>
        <v>1027.43835616438</v>
      </c>
      <c r="S32" s="57">
        <v>2.6</v>
      </c>
      <c r="T32" s="53" t="s"/>
      <c r="U32" s="54" t="s"/>
      <c r="V32" s="55" t="s"/>
      <c r="W32" s="55" t="s"/>
      <c r="X32" s="55" t="s"/>
      <c r="Y32" s="55" t="s"/>
      <c r="Z32" s="55" t="s"/>
      <c r="AA32" s="56" t="s"/>
      <c r="AB32" s="56" t="s"/>
      <c r="AC32" s="56" t="s"/>
      <c r="AD32" s="56" t="s"/>
    </row>
    <row r="33" spans="1:30" s="751" customFormat="1" ht="16.5" customHeight="1">
      <c r="A33" s="40" t="s">
        <v>125</v>
      </c>
      <c r="B33" s="69" t="s">
        <v>2376</v>
      </c>
      <c r="C33" s="41" t="s">
        <v>126</v>
      </c>
      <c r="D33" s="40">
        <v>0.0249</v>
      </c>
      <c r="E33" s="40">
        <v>0.0256</v>
      </c>
      <c r="F33" s="42" t="s">
        <v>50</v>
      </c>
      <c r="G33" s="43" t="s">
        <v>34</v>
      </c>
      <c r="H33" s="44" t="s">
        <v>127</v>
      </c>
      <c r="I33" s="45">
        <v>2000</v>
      </c>
      <c r="J33" s="46">
        <v>19886150.68</v>
      </c>
      <c r="K33" s="47">
        <v>46289</v>
      </c>
      <c r="L33" s="48">
        <f>NETWORKDAYS(K33,TODAY(),$A$143:$A$148)</f>
        <v>8</v>
      </c>
      <c r="M33" s="49" t="s"/>
      <c r="N33" s="42" t="s">
        <v>36</v>
      </c>
      <c r="O33" s="50" t="s"/>
      <c r="P33" s="40">
        <v>0.024776</v>
      </c>
      <c r="Q33" s="51">
        <v>145100</v>
      </c>
      <c r="R33" s="52">
        <f>E33*I33/365*10000</f>
        <v>1402.7397260274</v>
      </c>
      <c r="S33" s="57">
        <v>4</v>
      </c>
      <c r="T33" s="52" t="s"/>
      <c r="U33" s="54" t="s"/>
      <c r="V33" s="55" t="s"/>
      <c r="W33" s="55" t="s"/>
      <c r="X33" s="55" t="s"/>
      <c r="Y33" s="55" t="s"/>
      <c r="Z33" s="55" t="s"/>
      <c r="AA33" s="56" t="s"/>
      <c r="AB33" s="56" t="s"/>
      <c r="AC33" s="56" t="s"/>
      <c r="AD33" s="56" t="s"/>
    </row>
    <row r="34" spans="1:30" s="751" customFormat="1" ht="16.5" customHeight="1">
      <c r="A34" s="40" t="s">
        <v>128</v>
      </c>
      <c r="B34" s="69" t="s">
        <v>129</v>
      </c>
      <c r="C34" s="41" t="s">
        <v>130</v>
      </c>
      <c r="D34" s="40">
        <v>0.044</v>
      </c>
      <c r="E34" s="40">
        <v>0.0195</v>
      </c>
      <c r="F34" s="42" t="s">
        <v>33</v>
      </c>
      <c r="G34" s="43" t="s">
        <v>64</v>
      </c>
      <c r="H34" s="44" t="s">
        <v>35</v>
      </c>
      <c r="I34" s="45">
        <v>1000</v>
      </c>
      <c r="J34" s="46">
        <v>10402762.88</v>
      </c>
      <c r="K34" s="47">
        <v>46289</v>
      </c>
      <c r="L34" s="48">
        <f>NETWORKDAYS(K34,TODAY(),$A$143:$A$148)</f>
        <v>8</v>
      </c>
      <c r="M34" s="49" t="s"/>
      <c r="N34" s="42" t="s">
        <v>36</v>
      </c>
      <c r="O34" s="50" t="s"/>
      <c r="P34" s="40">
        <v>0.019473</v>
      </c>
      <c r="Q34" s="51">
        <v>700</v>
      </c>
      <c r="R34" s="52">
        <f>E34*I34/365*10000</f>
        <v>534.246575342466</v>
      </c>
      <c r="S34" s="57">
        <v>2</v>
      </c>
      <c r="T34" s="53" t="s"/>
      <c r="U34" s="54" t="s"/>
      <c r="V34" s="55" t="s"/>
      <c r="W34" s="55" t="s"/>
      <c r="X34" s="55" t="s"/>
      <c r="Y34" s="55" t="s"/>
      <c r="Z34" s="55" t="s"/>
      <c r="AA34" s="56" t="s"/>
      <c r="AB34" s="56" t="s"/>
      <c r="AC34" s="56" t="s"/>
      <c r="AD34" s="56" t="s"/>
    </row>
    <row r="35" spans="1:30" s="751" customFormat="1" ht="16.5" customHeight="1">
      <c r="A35" s="70" t="s">
        <v>109</v>
      </c>
      <c r="B35" s="71" t="s">
        <v>110</v>
      </c>
      <c r="C35" s="70" t="s">
        <v>131</v>
      </c>
      <c r="D35" s="70">
        <v>0.0223</v>
      </c>
      <c r="E35" s="70">
        <v>0.021285</v>
      </c>
      <c r="F35" s="72" t="s"/>
      <c r="G35" s="73" t="s">
        <v>34</v>
      </c>
      <c r="H35" s="74" t="s">
        <v>35</v>
      </c>
      <c r="I35" s="75">
        <v>3000</v>
      </c>
      <c r="J35" s="76">
        <v>30834496.07</v>
      </c>
      <c r="K35" s="77">
        <v>46289</v>
      </c>
      <c r="L35" s="48">
        <f>NETWORKDAYS(K35,TODAY(),$A$143:$A$148)</f>
        <v>8</v>
      </c>
      <c r="M35" s="78" t="s"/>
      <c r="N35" s="79" t="s">
        <v>112</v>
      </c>
      <c r="O35" s="80" t="s"/>
      <c r="P35" s="70">
        <v>0.021315</v>
      </c>
      <c r="Q35" s="81">
        <v>-19980</v>
      </c>
      <c r="R35" s="82">
        <f>E35*I35/365*10000</f>
        <v>1749.45205479452</v>
      </c>
      <c r="S35" s="83">
        <v>3180</v>
      </c>
      <c r="T35" s="84" t="s"/>
      <c r="U35" s="84" t="s"/>
      <c r="V35" s="85" t="s"/>
      <c r="W35" s="85" t="s"/>
      <c r="X35" s="85" t="s"/>
      <c r="Y35" s="85" t="s"/>
      <c r="Z35" s="85" t="s"/>
      <c r="AA35" s="86" t="s"/>
      <c r="AB35" s="86" t="s"/>
      <c r="AC35" s="86" t="s"/>
      <c r="AD35" s="86" t="s"/>
    </row>
    <row r="36" spans="1:30" s="751" customFormat="1" ht="16.5" customHeight="1">
      <c r="A36" s="70" t="s">
        <v>109</v>
      </c>
      <c r="B36" s="71" t="s">
        <v>110</v>
      </c>
      <c r="C36" s="70" t="s">
        <v>131</v>
      </c>
      <c r="D36" s="70">
        <v>0.0223</v>
      </c>
      <c r="E36" s="70">
        <v>0.0213</v>
      </c>
      <c r="F36" s="72" t="s"/>
      <c r="G36" s="73" t="s">
        <v>34</v>
      </c>
      <c r="H36" s="74" t="s">
        <v>35</v>
      </c>
      <c r="I36" s="75">
        <v>1000</v>
      </c>
      <c r="J36" s="76">
        <v>10274825.36</v>
      </c>
      <c r="K36" s="77">
        <v>46289</v>
      </c>
      <c r="L36" s="48">
        <f>NETWORKDAYS(K36,TODAY(),$A$143:$A$148)</f>
        <v>8</v>
      </c>
      <c r="M36" s="78" t="s"/>
      <c r="N36" s="79" t="s">
        <v>112</v>
      </c>
      <c r="O36" s="80" t="s"/>
      <c r="P36" s="70">
        <v>0.021315</v>
      </c>
      <c r="Q36" s="81">
        <v>-3320</v>
      </c>
      <c r="R36" s="82">
        <f>E36*I36/365*10000</f>
        <v>583.561643835617</v>
      </c>
      <c r="S36" s="83">
        <v>3180</v>
      </c>
      <c r="T36" s="84" t="s"/>
      <c r="U36" s="84" t="s"/>
      <c r="V36" s="85" t="s"/>
      <c r="W36" s="85" t="s"/>
      <c r="X36" s="85" t="s"/>
      <c r="Y36" s="85" t="s"/>
      <c r="Z36" s="85" t="s"/>
      <c r="AA36" s="86" t="s"/>
      <c r="AB36" s="86" t="s"/>
      <c r="AC36" s="86" t="s"/>
      <c r="AD36" s="86" t="s"/>
    </row>
    <row r="37" spans="1:30" s="751" customFormat="1" ht="16.5" customHeight="1">
      <c r="A37" s="40" t="s">
        <v>132</v>
      </c>
      <c r="B37" s="69" t="s">
        <v>2377</v>
      </c>
      <c r="C37" s="41" t="s">
        <v>133</v>
      </c>
      <c r="D37" s="40">
        <v>0.0207</v>
      </c>
      <c r="E37" s="40">
        <v>0.019752</v>
      </c>
      <c r="F37" s="42" t="s">
        <v>33</v>
      </c>
      <c r="G37" s="43" t="s">
        <v>34</v>
      </c>
      <c r="H37" s="44" t="s">
        <v>35</v>
      </c>
      <c r="I37" s="45">
        <v>1000</v>
      </c>
      <c r="J37" s="46">
        <v>10044756.16</v>
      </c>
      <c r="K37" s="47">
        <v>46289</v>
      </c>
      <c r="L37" s="48">
        <f>NETWORKDAYS(K37,TODAY(),$A$143:$A$148)</f>
        <v>8</v>
      </c>
      <c r="M37" s="49" t="s"/>
      <c r="N37" s="42" t="s">
        <v>134</v>
      </c>
      <c r="O37" s="50" t="s"/>
      <c r="P37" s="40">
        <v>0.01955</v>
      </c>
      <c r="Q37" s="51">
        <v>4270</v>
      </c>
      <c r="R37" s="52">
        <f>E37*I37/365*10000</f>
        <v>541.150684931507</v>
      </c>
      <c r="S37" s="57">
        <v>10</v>
      </c>
      <c r="T37" s="53" t="s"/>
      <c r="U37" s="54" t="s"/>
      <c r="V37" s="55" t="s"/>
      <c r="W37" s="55" t="s"/>
      <c r="X37" s="55" t="s"/>
      <c r="Y37" s="55" t="s"/>
      <c r="Z37" s="55" t="s"/>
      <c r="AA37" s="56" t="s"/>
      <c r="AB37" s="56" t="s"/>
      <c r="AC37" s="56" t="s"/>
      <c r="AD37" s="56" t="s"/>
    </row>
    <row r="38" spans="1:30" s="751" customFormat="1" ht="16.5" customHeight="1">
      <c r="A38" s="40" t="s">
        <v>135</v>
      </c>
      <c r="B38" s="69" t="s">
        <v>136</v>
      </c>
      <c r="C38" s="41" t="s">
        <v>137</v>
      </c>
      <c r="D38" s="40">
        <v>0.0438</v>
      </c>
      <c r="E38" s="40">
        <v>0.021447</v>
      </c>
      <c r="F38" s="42" t="s">
        <v>43</v>
      </c>
      <c r="G38" s="43" t="s">
        <v>64</v>
      </c>
      <c r="H38" s="44" t="s">
        <v>35</v>
      </c>
      <c r="I38" s="45">
        <v>500</v>
      </c>
      <c r="J38" s="46">
        <v>5315425</v>
      </c>
      <c r="K38" s="47">
        <v>46289</v>
      </c>
      <c r="L38" s="48">
        <f>NETWORKDAYS(K38,TODAY(),$A$143:$A$148)</f>
        <v>8</v>
      </c>
      <c r="M38" s="49" t="s"/>
      <c r="N38" s="42" t="s">
        <v>48</v>
      </c>
      <c r="O38" s="50" t="s"/>
      <c r="P38" s="40">
        <v>0.01718</v>
      </c>
      <c r="Q38" s="51">
        <v>24300</v>
      </c>
      <c r="R38" s="52">
        <f>E38*I38/365*10000</f>
        <v>293.794520547945</v>
      </c>
      <c r="S38" s="57">
        <v>3</v>
      </c>
      <c r="T38" s="53" t="s"/>
      <c r="U38" s="54" t="s"/>
      <c r="V38" s="55" t="s"/>
      <c r="W38" s="55" t="s"/>
      <c r="X38" s="55" t="s"/>
      <c r="Y38" s="55" t="s"/>
      <c r="Z38" s="55" t="s"/>
      <c r="AA38" s="56" t="s"/>
      <c r="AB38" s="56" t="s"/>
      <c r="AC38" s="56" t="s"/>
      <c r="AD38" s="56" t="s"/>
    </row>
    <row r="39" spans="1:30" s="751" customFormat="1" ht="16.5" customHeight="1">
      <c r="A39" s="40" t="s">
        <v>138</v>
      </c>
      <c r="B39" s="69" t="s">
        <v>2378</v>
      </c>
      <c r="C39" s="41" t="s">
        <v>139</v>
      </c>
      <c r="D39" s="40">
        <v>0.0324</v>
      </c>
      <c r="E39" s="40">
        <v>0.015058</v>
      </c>
      <c r="F39" s="42" t="s">
        <v>33</v>
      </c>
      <c r="G39" s="43" t="s">
        <v>34</v>
      </c>
      <c r="H39" s="44" t="s">
        <v>35</v>
      </c>
      <c r="I39" s="45">
        <v>5000</v>
      </c>
      <c r="J39" s="46">
        <v>51528589.04</v>
      </c>
      <c r="K39" s="47">
        <v>46293</v>
      </c>
      <c r="L39" s="48">
        <f>NETWORKDAYS(K39,TODAY(),$A$143:$A$148)</f>
        <v>7</v>
      </c>
      <c r="M39" s="49" t="s"/>
      <c r="N39" s="42" t="s">
        <v>36</v>
      </c>
      <c r="O39" s="50" t="s"/>
      <c r="P39" s="40">
        <v>0.015454</v>
      </c>
      <c r="Q39" s="51">
        <v>11100</v>
      </c>
      <c r="R39" s="52">
        <f>E39*I39/365*10000</f>
        <v>2062.7397260274</v>
      </c>
      <c r="S39" s="57">
        <v>7</v>
      </c>
      <c r="T39" s="53" t="s"/>
      <c r="U39" s="54" t="s"/>
      <c r="V39" s="55" t="s"/>
      <c r="W39" s="55" t="s"/>
      <c r="X39" s="55" t="s"/>
      <c r="Y39" s="55" t="s"/>
      <c r="Z39" s="55" t="s"/>
      <c r="AA39" s="56" t="s"/>
      <c r="AB39" s="56" t="s"/>
      <c r="AC39" s="56" t="s"/>
      <c r="AD39" s="56" t="s"/>
    </row>
    <row r="40" spans="1:30" s="751" customFormat="1" ht="16.5" customHeight="1">
      <c r="A40" s="40" t="s">
        <v>140</v>
      </c>
      <c r="B40" s="69" t="s">
        <v>2379</v>
      </c>
      <c r="C40" s="41" t="s">
        <v>108</v>
      </c>
      <c r="D40" s="40">
        <v>0.0202</v>
      </c>
      <c r="E40" s="40">
        <v>0.020141</v>
      </c>
      <c r="F40" s="42" t="s">
        <v>33</v>
      </c>
      <c r="G40" s="43" t="s">
        <v>34</v>
      </c>
      <c r="H40" s="44" t="s">
        <v>35</v>
      </c>
      <c r="I40" s="45">
        <v>4000</v>
      </c>
      <c r="J40" s="46">
        <v>40087693.15</v>
      </c>
      <c r="K40" s="47">
        <v>46293</v>
      </c>
      <c r="L40" s="48">
        <f>NETWORKDAYS(K40,TODAY(),$A$143:$A$148)</f>
        <v>7</v>
      </c>
      <c r="M40" s="49" t="s"/>
      <c r="N40" s="42" t="s">
        <v>48</v>
      </c>
      <c r="O40" s="50" t="s"/>
      <c r="P40" s="40">
        <v>0.019733</v>
      </c>
      <c r="Q40" s="51">
        <v>78080</v>
      </c>
      <c r="R40" s="52">
        <f>E40*I40/365*10000</f>
        <v>2207.23287671233</v>
      </c>
      <c r="S40" s="57">
        <v>5</v>
      </c>
      <c r="T40" s="53" t="s"/>
      <c r="U40" s="54" t="s"/>
      <c r="V40" s="55" t="s"/>
      <c r="W40" s="55" t="s"/>
      <c r="X40" s="55" t="s"/>
      <c r="Y40" s="55" t="s"/>
      <c r="Z40" s="55" t="s"/>
      <c r="AA40" s="56" t="s"/>
      <c r="AB40" s="56" t="s"/>
      <c r="AC40" s="56" t="s"/>
      <c r="AD40" s="56" t="s"/>
    </row>
    <row r="41" spans="1:30" s="751" customFormat="1" ht="16.5" customHeight="1">
      <c r="A41" s="40" t="s">
        <v>141</v>
      </c>
      <c r="B41" s="69" t="s">
        <v>142</v>
      </c>
      <c r="C41" s="41" t="s">
        <v>108</v>
      </c>
      <c r="D41" s="40">
        <v>0.0211</v>
      </c>
      <c r="E41" s="40">
        <v>0.020733</v>
      </c>
      <c r="F41" s="42" t="s">
        <v>43</v>
      </c>
      <c r="G41" s="43" t="s">
        <v>34</v>
      </c>
      <c r="H41" s="44" t="s">
        <v>35</v>
      </c>
      <c r="I41" s="45">
        <v>3000</v>
      </c>
      <c r="J41" s="46">
        <v>30116121.37</v>
      </c>
      <c r="K41" s="47">
        <v>46293</v>
      </c>
      <c r="L41" s="48">
        <f>NETWORKDAYS(K41,TODAY(),$A$143:$A$148)</f>
        <v>7</v>
      </c>
      <c r="M41" s="49" t="s"/>
      <c r="N41" s="42" t="s">
        <v>48</v>
      </c>
      <c r="O41" s="50" t="s"/>
      <c r="P41" s="40">
        <v>0.020228</v>
      </c>
      <c r="Q41" s="51">
        <v>70320</v>
      </c>
      <c r="R41" s="52">
        <f>E41*I41/365*10000</f>
        <v>1704.08219178082</v>
      </c>
      <c r="S41" s="57">
        <v>10</v>
      </c>
      <c r="T41" s="53" t="s"/>
      <c r="U41" s="54" t="s"/>
      <c r="V41" s="55" t="s"/>
      <c r="W41" s="55" t="s"/>
      <c r="X41" s="55" t="s"/>
      <c r="Y41" s="55" t="s"/>
      <c r="Z41" s="55" t="s"/>
      <c r="AA41" s="56" t="s"/>
      <c r="AB41" s="56" t="s"/>
      <c r="AC41" s="56" t="s"/>
      <c r="AD41" s="56" t="s"/>
    </row>
    <row r="42" spans="1:30" s="751" customFormat="1" ht="16.5" customHeight="1">
      <c r="A42" s="40" t="s">
        <v>143</v>
      </c>
      <c r="B42" s="69" t="s">
        <v>144</v>
      </c>
      <c r="C42" s="41" t="s">
        <v>145</v>
      </c>
      <c r="D42" s="40">
        <v>0.047</v>
      </c>
      <c r="E42" s="40">
        <v>0.021981</v>
      </c>
      <c r="F42" s="42" t="s">
        <v>33</v>
      </c>
      <c r="G42" s="43" t="s">
        <v>34</v>
      </c>
      <c r="H42" s="44" t="s">
        <v>35</v>
      </c>
      <c r="I42" s="45">
        <v>500</v>
      </c>
      <c r="J42" s="46">
        <v>5351023.29</v>
      </c>
      <c r="K42" s="47">
        <v>46293</v>
      </c>
      <c r="L42" s="48">
        <f>NETWORKDAYS(K42,TODAY(),$A$143:$A$148)</f>
        <v>7</v>
      </c>
      <c r="M42" s="49" t="s"/>
      <c r="N42" s="42" t="s">
        <v>134</v>
      </c>
      <c r="O42" s="50" t="s"/>
      <c r="P42" s="40">
        <v>0.019731</v>
      </c>
      <c r="Q42" s="51">
        <v>13365</v>
      </c>
      <c r="R42" s="52">
        <f>E42*I42/365*10000</f>
        <v>301.109589041096</v>
      </c>
      <c r="S42" s="57">
        <v>6</v>
      </c>
      <c r="T42" s="53" t="s"/>
      <c r="U42" s="54" t="s"/>
      <c r="V42" s="55" t="s"/>
      <c r="W42" s="55" t="s"/>
      <c r="X42" s="55" t="s"/>
      <c r="Y42" s="55" t="s"/>
      <c r="Z42" s="55" t="s"/>
      <c r="AA42" s="56" t="s"/>
      <c r="AB42" s="56" t="s"/>
      <c r="AC42" s="56" t="s"/>
      <c r="AD42" s="56" t="s"/>
    </row>
    <row r="43" spans="1:30" s="751" customFormat="1" ht="16.5" customHeight="1">
      <c r="A43" s="40" t="s">
        <v>146</v>
      </c>
      <c r="B43" s="69" t="s">
        <v>2380</v>
      </c>
      <c r="C43" s="41" t="s">
        <v>147</v>
      </c>
      <c r="D43" s="40">
        <v>0.033</v>
      </c>
      <c r="E43" s="40">
        <v>0.029269</v>
      </c>
      <c r="F43" s="42" t="s">
        <v>43</v>
      </c>
      <c r="G43" s="43" t="s">
        <v>34</v>
      </c>
      <c r="H43" s="44" t="s">
        <v>35</v>
      </c>
      <c r="I43" s="45">
        <v>4000</v>
      </c>
      <c r="J43" s="46">
        <v>40998010.96</v>
      </c>
      <c r="K43" s="47">
        <v>46293</v>
      </c>
      <c r="L43" s="48">
        <f>NETWORKDAYS(K43,TODAY(),$A$143:$A$148)</f>
        <v>7</v>
      </c>
      <c r="M43" s="49" t="s"/>
      <c r="N43" s="42" t="s">
        <v>134</v>
      </c>
      <c r="O43" s="50" t="s"/>
      <c r="P43" s="40">
        <v>0.030238</v>
      </c>
      <c r="Q43" s="51">
        <v>-165720</v>
      </c>
      <c r="R43" s="52">
        <f>E43*I43/365*10000</f>
        <v>3207.56164383562</v>
      </c>
      <c r="S43" s="57">
        <v>2.8</v>
      </c>
      <c r="T43" s="53" t="s"/>
      <c r="U43" s="54" t="s"/>
      <c r="V43" s="55" t="s"/>
      <c r="W43" s="55" t="s"/>
      <c r="X43" s="55" t="s"/>
      <c r="Y43" s="55" t="s"/>
      <c r="Z43" s="55" t="s"/>
      <c r="AA43" s="56" t="s"/>
      <c r="AB43" s="56" t="s"/>
      <c r="AC43" s="56" t="s"/>
      <c r="AD43" s="56" t="s"/>
    </row>
    <row r="44" spans="1:30" s="751" customFormat="1" ht="16.5" customHeight="1">
      <c r="A44" s="40" t="s">
        <v>148</v>
      </c>
      <c r="B44" s="69" t="s">
        <v>149</v>
      </c>
      <c r="C44" s="41" t="s">
        <v>150</v>
      </c>
      <c r="D44" s="40">
        <v>0.03</v>
      </c>
      <c r="E44" s="40">
        <v>0.026671</v>
      </c>
      <c r="F44" s="42" t="s">
        <v>33</v>
      </c>
      <c r="G44" s="43" t="s">
        <v>34</v>
      </c>
      <c r="H44" s="44" t="s">
        <v>35</v>
      </c>
      <c r="I44" s="45">
        <v>1000</v>
      </c>
      <c r="J44" s="46">
        <v>10208963.84</v>
      </c>
      <c r="K44" s="47">
        <v>46294</v>
      </c>
      <c r="L44" s="48">
        <f>NETWORKDAYS(K44,TODAY(),$A$143:$A$148)</f>
        <v>6</v>
      </c>
      <c r="M44" s="49" t="s"/>
      <c r="N44" s="42" t="s">
        <v>36</v>
      </c>
      <c r="O44" s="50" t="s"/>
      <c r="P44" s="40">
        <v>0.026442</v>
      </c>
      <c r="Q44" s="51">
        <v>10400</v>
      </c>
      <c r="R44" s="52">
        <f>E44*I44/365*10000</f>
        <v>730.712328767123</v>
      </c>
      <c r="S44" s="57">
        <v>7</v>
      </c>
      <c r="T44" s="53" t="s"/>
      <c r="U44" s="54" t="s"/>
      <c r="V44" s="55" t="s"/>
      <c r="W44" s="55" t="s"/>
      <c r="X44" s="55" t="s"/>
      <c r="Y44" s="55" t="s"/>
      <c r="Z44" s="55" t="s"/>
      <c r="AA44" s="56" t="s"/>
      <c r="AB44" s="56" t="s"/>
      <c r="AC44" s="56" t="s"/>
      <c r="AD44" s="56" t="s"/>
    </row>
    <row r="45" spans="1:30" s="751" customFormat="1" ht="16.5" customHeight="1">
      <c r="A45" s="40" t="s">
        <v>151</v>
      </c>
      <c r="B45" s="69" t="s">
        <v>152</v>
      </c>
      <c r="C45" s="41" t="s">
        <v>153</v>
      </c>
      <c r="D45" s="40">
        <v>0.0341</v>
      </c>
      <c r="E45" s="40">
        <v>0.033189</v>
      </c>
      <c r="F45" s="42" t="s">
        <v>43</v>
      </c>
      <c r="G45" s="43" t="s">
        <v>34</v>
      </c>
      <c r="H45" s="44" t="s">
        <v>35</v>
      </c>
      <c r="I45" s="45">
        <v>3000</v>
      </c>
      <c r="J45" s="46">
        <v>30282008.22</v>
      </c>
      <c r="K45" s="47">
        <v>46294</v>
      </c>
      <c r="L45" s="48">
        <f>NETWORKDAYS(K45,TODAY(),$A$143:$A$148)</f>
        <v>6</v>
      </c>
      <c r="M45" s="49" t="s"/>
      <c r="N45" s="42" t="s">
        <v>36</v>
      </c>
      <c r="O45" s="50" t="s"/>
      <c r="P45" s="40">
        <v>0.031483</v>
      </c>
      <c r="Q45" s="51">
        <v>135300</v>
      </c>
      <c r="R45" s="52">
        <f>E45*I45/365*10000</f>
        <v>2727.86301369863</v>
      </c>
      <c r="S45" s="57">
        <v>5</v>
      </c>
      <c r="T45" s="53" t="s"/>
      <c r="U45" s="54" t="s"/>
      <c r="V45" s="55" t="s"/>
      <c r="W45" s="55" t="s"/>
      <c r="X45" s="55" t="s"/>
      <c r="Y45" s="55" t="s"/>
      <c r="Z45" s="55" t="s"/>
      <c r="AA45" s="56" t="s"/>
      <c r="AB45" s="56" t="s"/>
      <c r="AC45" s="56" t="s"/>
      <c r="AD45" s="56" t="s"/>
    </row>
    <row r="46" spans="1:30" s="751" customFormat="1" ht="16.5" customHeight="1">
      <c r="A46" s="40" t="s">
        <v>154</v>
      </c>
      <c r="B46" s="69" t="s">
        <v>2381</v>
      </c>
      <c r="C46" s="41" t="s">
        <v>155</v>
      </c>
      <c r="D46" s="40">
        <v>0.023</v>
      </c>
      <c r="E46" s="40">
        <v>0.020655</v>
      </c>
      <c r="F46" s="42" t="s">
        <v>33</v>
      </c>
      <c r="G46" s="43" t="s">
        <v>34</v>
      </c>
      <c r="H46" s="44" t="s">
        <v>35</v>
      </c>
      <c r="I46" s="45">
        <v>1000</v>
      </c>
      <c r="J46" s="46">
        <v>10180767.12</v>
      </c>
      <c r="K46" s="47">
        <v>46294</v>
      </c>
      <c r="L46" s="48">
        <f>NETWORKDAYS(K46,TODAY(),$A$143:$A$148)</f>
        <v>6</v>
      </c>
      <c r="M46" s="49" t="s"/>
      <c r="N46" s="42" t="s">
        <v>48</v>
      </c>
      <c r="O46" s="50" t="s"/>
      <c r="P46" s="40">
        <v>0.019576</v>
      </c>
      <c r="Q46" s="51">
        <v>48680</v>
      </c>
      <c r="R46" s="52">
        <f>E46*I46/365*10000</f>
        <v>565.890410958904</v>
      </c>
      <c r="S46" s="57">
        <v>16</v>
      </c>
      <c r="T46" s="53" t="s"/>
      <c r="U46" s="54" t="s"/>
      <c r="V46" s="55" t="s"/>
      <c r="W46" s="55" t="s"/>
      <c r="X46" s="55" t="s"/>
      <c r="Y46" s="55" t="s"/>
      <c r="Z46" s="55" t="s"/>
      <c r="AA46" s="56" t="s"/>
      <c r="AB46" s="56" t="s"/>
      <c r="AC46" s="56" t="s"/>
      <c r="AD46" s="56" t="s"/>
    </row>
    <row r="47" spans="1:30" s="751" customFormat="1" ht="16.5" customHeight="1">
      <c r="A47" s="40" t="s">
        <v>156</v>
      </c>
      <c r="B47" s="69" t="s">
        <v>2382</v>
      </c>
      <c r="C47" s="41" t="s">
        <v>157</v>
      </c>
      <c r="D47" s="40">
        <v>0.055</v>
      </c>
      <c r="E47" s="40">
        <v>0.022953</v>
      </c>
      <c r="F47" s="42" t="s">
        <v>33</v>
      </c>
      <c r="G47" s="43" t="s">
        <v>34</v>
      </c>
      <c r="H47" s="44" t="s">
        <v>35</v>
      </c>
      <c r="I47" s="45">
        <v>700</v>
      </c>
      <c r="J47" s="46">
        <v>7592010.14</v>
      </c>
      <c r="K47" s="47">
        <v>46294</v>
      </c>
      <c r="L47" s="48">
        <f>NETWORKDAYS(K47,TODAY(),$A$143:$A$148)</f>
        <v>6</v>
      </c>
      <c r="M47" s="49" t="s"/>
      <c r="N47" s="42" t="s">
        <v>48</v>
      </c>
      <c r="O47" s="50" t="s"/>
      <c r="P47" s="40">
        <v>0.022712</v>
      </c>
      <c r="Q47" s="51">
        <v>3472</v>
      </c>
      <c r="R47" s="52">
        <f>E47*I47/365*10000</f>
        <v>440.194520547945</v>
      </c>
      <c r="S47" s="57">
        <v>5</v>
      </c>
      <c r="T47" s="53" t="s"/>
      <c r="U47" s="54" t="s"/>
      <c r="V47" s="55" t="s"/>
      <c r="W47" s="55" t="s"/>
      <c r="X47" s="55" t="s"/>
      <c r="Y47" s="55" t="s"/>
      <c r="Z47" s="55" t="s"/>
      <c r="AA47" s="56" t="s"/>
      <c r="AB47" s="56" t="s"/>
      <c r="AC47" s="56" t="s"/>
      <c r="AD47" s="56" t="s"/>
    </row>
    <row r="48" spans="1:30" s="751" customFormat="1" ht="16.5" customHeight="1">
      <c r="A48" s="40" t="s">
        <v>158</v>
      </c>
      <c r="B48" s="69" t="s">
        <v>2383</v>
      </c>
      <c r="C48" s="41" t="s">
        <v>159</v>
      </c>
      <c r="D48" s="40">
        <v>0.0192</v>
      </c>
      <c r="E48" s="40">
        <v>0.018828</v>
      </c>
      <c r="F48" s="42" t="s">
        <v>50</v>
      </c>
      <c r="G48" s="43" t="s">
        <v>34</v>
      </c>
      <c r="H48" s="44" t="s">
        <v>127</v>
      </c>
      <c r="I48" s="45">
        <v>1000</v>
      </c>
      <c r="J48" s="46">
        <v>10023212.33</v>
      </c>
      <c r="K48" s="47">
        <v>46294</v>
      </c>
      <c r="L48" s="48">
        <f>NETWORKDAYS(K48,TODAY(),$A$143:$A$148)</f>
        <v>6</v>
      </c>
      <c r="M48" s="49" t="s"/>
      <c r="N48" s="42" t="s">
        <v>44</v>
      </c>
      <c r="O48" s="50" t="s"/>
      <c r="P48" s="40">
        <v>0.018915</v>
      </c>
      <c r="Q48" s="51">
        <v>-3560</v>
      </c>
      <c r="R48" s="52">
        <f>E48*I48/365*10000</f>
        <v>515.835616438356</v>
      </c>
      <c r="S48" s="57">
        <v>15</v>
      </c>
      <c r="T48" s="53" t="s"/>
      <c r="U48" s="54" t="s"/>
      <c r="V48" s="55" t="s"/>
      <c r="W48" s="55" t="s"/>
      <c r="X48" s="55" t="s"/>
      <c r="Y48" s="55" t="s"/>
      <c r="Z48" s="55" t="s"/>
      <c r="AA48" s="56" t="s"/>
      <c r="AB48" s="56" t="s"/>
      <c r="AC48" s="56" t="s"/>
      <c r="AD48" s="56" t="s"/>
    </row>
    <row r="49" spans="1:30" s="751" customFormat="1" ht="16.5" customHeight="1">
      <c r="A49" s="40" t="s">
        <v>158</v>
      </c>
      <c r="B49" s="40" t="s">
        <v>2383</v>
      </c>
      <c r="C49" s="41" t="s">
        <v>159</v>
      </c>
      <c r="D49" s="40">
        <v>0.0192</v>
      </c>
      <c r="E49" s="40">
        <v>0.018779</v>
      </c>
      <c r="F49" s="42" t="s">
        <v>50</v>
      </c>
      <c r="G49" s="43" t="s">
        <v>34</v>
      </c>
      <c r="H49" s="44" t="s">
        <v>127</v>
      </c>
      <c r="I49" s="45">
        <v>1000</v>
      </c>
      <c r="J49" s="46">
        <v>10025512.33</v>
      </c>
      <c r="K49" s="47">
        <v>46294</v>
      </c>
      <c r="L49" s="48">
        <f>NETWORKDAYS(K49,TODAY(),$A$143:$A$148)</f>
        <v>6</v>
      </c>
      <c r="M49" s="49" t="s"/>
      <c r="N49" s="42" t="s">
        <v>44</v>
      </c>
      <c r="O49" s="50" t="s"/>
      <c r="P49" s="40">
        <v>0.018864</v>
      </c>
      <c r="Q49" s="51">
        <v>-3470</v>
      </c>
      <c r="R49" s="52">
        <f>E49*I49/365*10000</f>
        <v>514.493150684932</v>
      </c>
      <c r="S49" s="57">
        <v>15</v>
      </c>
      <c r="T49" s="53" t="s"/>
      <c r="U49" s="54" t="s"/>
      <c r="V49" s="55" t="s"/>
      <c r="W49" s="55" t="s"/>
      <c r="X49" s="55" t="s"/>
      <c r="Y49" s="55" t="s"/>
      <c r="Z49" s="55" t="s"/>
      <c r="AA49" s="56" t="s"/>
      <c r="AB49" s="56" t="s"/>
      <c r="AC49" s="56" t="s"/>
      <c r="AD49" s="56" t="s"/>
    </row>
    <row r="50" spans="1:30" s="751" customFormat="1" ht="16.5" customHeight="1">
      <c r="A50" s="40" t="s">
        <v>160</v>
      </c>
      <c r="B50" s="40" t="s">
        <v>2384</v>
      </c>
      <c r="C50" s="41" t="s">
        <v>161</v>
      </c>
      <c r="D50" s="40">
        <v>0.0195</v>
      </c>
      <c r="E50" s="40">
        <v>0.019493</v>
      </c>
      <c r="F50" s="42" t="s">
        <v>50</v>
      </c>
      <c r="G50" s="43" t="s">
        <v>34</v>
      </c>
      <c r="H50" s="44" t="s">
        <v>127</v>
      </c>
      <c r="I50" s="45">
        <v>1000</v>
      </c>
      <c r="J50" s="46">
        <v>10008547.95</v>
      </c>
      <c r="K50" s="47">
        <v>46303</v>
      </c>
      <c r="L50" s="48">
        <f>NETWORKDAYS(K50,TODAY(),$A$143:$A$148)</f>
        <v>4</v>
      </c>
      <c r="M50" s="49" t="s"/>
      <c r="N50" s="42" t="s">
        <v>44</v>
      </c>
      <c r="O50" s="50" t="s"/>
      <c r="P50" s="40">
        <v>0.019211</v>
      </c>
      <c r="Q50" s="51">
        <v>25990</v>
      </c>
      <c r="R50" s="52">
        <f>E50*I50/365*10000</f>
        <v>534.054794520548</v>
      </c>
      <c r="S50" s="57">
        <v>15</v>
      </c>
      <c r="T50" s="53" t="s"/>
      <c r="U50" s="54" t="s"/>
      <c r="V50" s="55" t="s"/>
      <c r="W50" s="55" t="s"/>
      <c r="X50" s="55" t="s"/>
      <c r="Y50" s="55" t="s"/>
      <c r="Z50" s="55" t="s"/>
      <c r="AA50" s="56" t="s"/>
      <c r="AB50" s="56" t="s"/>
      <c r="AC50" s="56" t="s"/>
      <c r="AD50" s="56" t="s"/>
    </row>
    <row r="51" spans="1:30" s="751" customFormat="1" ht="16.5" customHeight="1">
      <c r="A51" s="40" t="s">
        <v>109</v>
      </c>
      <c r="B51" s="40" t="s">
        <v>110</v>
      </c>
      <c r="C51" s="87" t="s">
        <v>162</v>
      </c>
      <c r="D51" s="40">
        <v>0.0223</v>
      </c>
      <c r="E51" s="40">
        <v>0.02125</v>
      </c>
      <c r="F51" s="42" t="s"/>
      <c r="G51" s="43" t="s">
        <v>34</v>
      </c>
      <c r="H51" s="44" t="s">
        <v>35</v>
      </c>
      <c r="I51" s="45">
        <v>10000</v>
      </c>
      <c r="J51" s="46">
        <v>102948746.99</v>
      </c>
      <c r="K51" s="47">
        <v>46304</v>
      </c>
      <c r="L51" s="48">
        <f>NETWORKDAYS(K51,TODAY(),$A$143:$A$148)</f>
        <v>3</v>
      </c>
      <c r="M51" s="49" t="s"/>
      <c r="N51" s="42" t="s">
        <v>112</v>
      </c>
      <c r="O51" s="50" t="s"/>
      <c r="P51" s="40">
        <v>0.02128</v>
      </c>
      <c r="Q51" s="51">
        <v>-66600</v>
      </c>
      <c r="R51" s="52">
        <f>E51*I51/365*10000</f>
        <v>5821.91780821918</v>
      </c>
      <c r="S51" s="57">
        <v>3180</v>
      </c>
      <c r="T51" s="53" t="s"/>
      <c r="U51" s="54" t="s"/>
      <c r="V51" s="55" t="s"/>
      <c r="W51" s="55" t="s"/>
      <c r="X51" s="55" t="s"/>
      <c r="Y51" s="55" t="s"/>
      <c r="Z51" s="55" t="s"/>
      <c r="AA51" s="56" t="s"/>
      <c r="AB51" s="56" t="s"/>
      <c r="AC51" s="56" t="s"/>
      <c r="AD51" s="56" t="s"/>
    </row>
    <row r="52" spans="1:30" s="751" customFormat="1" ht="16.5" customHeight="1">
      <c r="A52" s="40" t="s">
        <v>163</v>
      </c>
      <c r="B52" s="40" t="s">
        <v>2385</v>
      </c>
      <c r="C52" s="87" t="s">
        <v>164</v>
      </c>
      <c r="D52" s="40">
        <v>0.0232</v>
      </c>
      <c r="E52" s="40">
        <v>0.020717</v>
      </c>
      <c r="F52" s="42" t="s">
        <v>33</v>
      </c>
      <c r="G52" s="43" t="s">
        <v>64</v>
      </c>
      <c r="H52" s="44" t="s">
        <v>35</v>
      </c>
      <c r="I52" s="45">
        <v>2000</v>
      </c>
      <c r="J52" s="46">
        <v>20369347.95</v>
      </c>
      <c r="K52" s="47">
        <v>46307</v>
      </c>
      <c r="L52" s="48">
        <f>NETWORKDAYS(K52,TODAY(),$A$143:$A$148)</f>
        <v>2</v>
      </c>
      <c r="M52" s="49" t="s"/>
      <c r="N52" s="42" t="s">
        <v>134</v>
      </c>
      <c r="O52" s="50" t="s"/>
      <c r="P52" s="40">
        <v>0.020195</v>
      </c>
      <c r="Q52" s="51">
        <v>48000</v>
      </c>
      <c r="R52" s="52">
        <f>E52*I52/365*10000</f>
        <v>1135.17808219178</v>
      </c>
      <c r="S52" s="57">
        <v>4.3</v>
      </c>
      <c r="T52" s="53" t="s"/>
      <c r="U52" s="54" t="s"/>
      <c r="V52" s="55" t="s"/>
      <c r="W52" s="55" t="s"/>
      <c r="X52" s="55" t="s"/>
      <c r="Y52" s="55" t="s"/>
      <c r="Z52" s="55" t="s"/>
      <c r="AA52" s="56" t="s"/>
      <c r="AB52" s="56" t="s"/>
      <c r="AC52" s="56" t="s"/>
      <c r="AD52" s="56" t="s"/>
    </row>
    <row r="53" spans="1:30" s="751" customFormat="1" ht="16.5" customHeight="1">
      <c r="A53" s="40" t="s">
        <v>165</v>
      </c>
      <c r="B53" s="40" t="s">
        <v>2386</v>
      </c>
      <c r="C53" s="87" t="s">
        <v>166</v>
      </c>
      <c r="D53" s="40">
        <v>0.0348</v>
      </c>
      <c r="E53" s="40">
        <v>0.027059</v>
      </c>
      <c r="F53" s="42" t="s">
        <v>43</v>
      </c>
      <c r="G53" s="43" t="s">
        <v>34</v>
      </c>
      <c r="H53" s="44" t="s">
        <v>35</v>
      </c>
      <c r="I53" s="45">
        <v>2000</v>
      </c>
      <c r="J53" s="46">
        <v>21008021.92</v>
      </c>
      <c r="K53" s="47">
        <v>46307</v>
      </c>
      <c r="L53" s="48">
        <f>NETWORKDAYS(K53,TODAY(),$A$143:$A$148)</f>
        <v>2</v>
      </c>
      <c r="M53" s="49" t="s"/>
      <c r="N53" s="42" t="s">
        <v>134</v>
      </c>
      <c r="O53" s="50" t="s"/>
      <c r="P53" s="40">
        <v>0.025659</v>
      </c>
      <c r="Q53" s="51">
        <v>122180</v>
      </c>
      <c r="R53" s="52">
        <f>E53*I53/365*10000</f>
        <v>1482.68493150685</v>
      </c>
      <c r="S53" s="57">
        <v>4.2</v>
      </c>
      <c r="T53" s="53" t="s"/>
      <c r="U53" s="54" t="s"/>
      <c r="V53" s="55" t="s"/>
      <c r="W53" s="55" t="s"/>
      <c r="X53" s="55" t="s"/>
      <c r="Y53" s="55" t="s"/>
      <c r="Z53" s="55" t="s"/>
      <c r="AA53" s="56" t="s"/>
      <c r="AB53" s="56" t="s"/>
      <c r="AC53" s="56" t="s"/>
      <c r="AD53" s="56" t="s"/>
    </row>
    <row r="54" spans="1:30" s="751" customFormat="1" ht="16.5" customHeight="1">
      <c r="A54" s="40" t="s">
        <v>167</v>
      </c>
      <c r="B54" s="40" t="s">
        <v>168</v>
      </c>
      <c r="C54" s="87" t="s">
        <v>169</v>
      </c>
      <c r="D54" s="40">
        <v>0.0197</v>
      </c>
      <c r="E54" s="40">
        <v>0.0188</v>
      </c>
      <c r="F54" s="42" t="s">
        <v>33</v>
      </c>
      <c r="G54" s="43" t="s">
        <v>34</v>
      </c>
      <c r="H54" s="44" t="s">
        <v>35</v>
      </c>
      <c r="I54" s="45">
        <v>2000</v>
      </c>
      <c r="J54" s="46">
        <v>20126178.08</v>
      </c>
      <c r="K54" s="47">
        <v>46307</v>
      </c>
      <c r="L54" s="48">
        <f>NETWORKDAYS(K54,TODAY(),$A$143:$A$148)</f>
        <v>2</v>
      </c>
      <c r="M54" s="49" t="s"/>
      <c r="N54" s="42" t="s">
        <v>36</v>
      </c>
      <c r="O54" s="50" t="s"/>
      <c r="P54" s="40">
        <v>0.018429</v>
      </c>
      <c r="Q54" s="51">
        <v>34660</v>
      </c>
      <c r="R54" s="52">
        <f>E54*I54/365*10000</f>
        <v>1030.13698630137</v>
      </c>
      <c r="S54" s="57">
        <v>3.6</v>
      </c>
      <c r="T54" s="53" t="s"/>
      <c r="U54" s="54" t="s"/>
      <c r="V54" s="55" t="s"/>
      <c r="W54" s="55" t="s"/>
      <c r="X54" s="55" t="s"/>
      <c r="Y54" s="55" t="s"/>
      <c r="Z54" s="55" t="s"/>
      <c r="AA54" s="56" t="s"/>
      <c r="AB54" s="56" t="s"/>
      <c r="AC54" s="56" t="s"/>
      <c r="AD54" s="56" t="s"/>
    </row>
    <row r="55" spans="1:30" s="751" customFormat="1" ht="16.5" customHeight="1">
      <c r="A55" s="40" t="s">
        <v>170</v>
      </c>
      <c r="B55" s="40" t="s">
        <v>2387</v>
      </c>
      <c r="C55" s="87" t="s">
        <v>171</v>
      </c>
      <c r="D55" s="40">
        <v>0.0247</v>
      </c>
      <c r="E55" s="40">
        <v>0.024675</v>
      </c>
      <c r="F55" s="42" t="s">
        <v>50</v>
      </c>
      <c r="G55" s="43" t="s">
        <v>64</v>
      </c>
      <c r="H55" s="44" t="s">
        <v>127</v>
      </c>
      <c r="I55" s="45">
        <v>2000</v>
      </c>
      <c r="J55" s="46">
        <v>20030375.34</v>
      </c>
      <c r="K55" s="47">
        <v>46307</v>
      </c>
      <c r="L55" s="48">
        <f>NETWORKDAYS(K55,TODAY(),$A$143:$A$148)</f>
        <v>2</v>
      </c>
      <c r="M55" s="49" t="s">
        <v>2365</v>
      </c>
      <c r="N55" s="42" t="s">
        <v>36</v>
      </c>
      <c r="O55" s="50" t="s"/>
      <c r="P55" s="40">
        <v>0.024051</v>
      </c>
      <c r="Q55" s="51">
        <v>58960</v>
      </c>
      <c r="R55" s="52">
        <f>E55*I55/365*10000</f>
        <v>1352.05479452055</v>
      </c>
      <c r="S55" s="57">
        <v>20</v>
      </c>
      <c r="T55" s="53" t="s"/>
      <c r="U55" s="54" t="s"/>
      <c r="V55" s="55" t="s"/>
      <c r="W55" s="55" t="s"/>
      <c r="X55" s="55" t="s"/>
      <c r="Y55" s="55" t="s"/>
      <c r="Z55" s="55" t="s"/>
      <c r="AA55" s="56" t="s"/>
      <c r="AB55" s="56" t="s"/>
      <c r="AC55" s="56" t="s"/>
      <c r="AD55" s="56" t="s"/>
    </row>
    <row r="56" spans="1:30" s="751" customFormat="1" ht="16.5" customHeight="1">
      <c r="A56" s="40" t="s">
        <v>172</v>
      </c>
      <c r="B56" s="40" t="s">
        <v>173</v>
      </c>
      <c r="C56" s="87" t="s">
        <v>174</v>
      </c>
      <c r="D56" s="40">
        <v>0.0275</v>
      </c>
      <c r="E56" s="40">
        <v>0.025475</v>
      </c>
      <c r="F56" s="42" t="s">
        <v>50</v>
      </c>
      <c r="G56" s="43" t="s">
        <v>34</v>
      </c>
      <c r="H56" s="44" t="s">
        <v>35</v>
      </c>
      <c r="I56" s="45">
        <v>5000</v>
      </c>
      <c r="J56" s="46">
        <v>51076473.29</v>
      </c>
      <c r="K56" s="47">
        <v>46307</v>
      </c>
      <c r="L56" s="48">
        <f>NETWORKDAYS(K56,TODAY(),$A$143:$A$148)</f>
        <v>2</v>
      </c>
      <c r="M56" s="49" t="s"/>
      <c r="N56" s="42" t="s">
        <v>48</v>
      </c>
      <c r="O56" s="50" t="s"/>
      <c r="P56" s="40">
        <v>0.024573</v>
      </c>
      <c r="Q56" s="51">
        <v>276850</v>
      </c>
      <c r="R56" s="52">
        <f>E56*I56/365*10000</f>
        <v>3489.72602739726</v>
      </c>
      <c r="S56" s="57">
        <v>7</v>
      </c>
      <c r="T56" s="53" t="s"/>
      <c r="U56" s="54" t="s"/>
      <c r="V56" s="55" t="s"/>
      <c r="W56" s="55" t="s"/>
      <c r="X56" s="55" t="s"/>
      <c r="Y56" s="55" t="s"/>
      <c r="Z56" s="55" t="s"/>
      <c r="AA56" s="56" t="s"/>
      <c r="AB56" s="56" t="s"/>
      <c r="AC56" s="56" t="s"/>
      <c r="AD56" s="56" t="s"/>
    </row>
    <row r="57" spans="1:30" s="751" customFormat="1" ht="16.5" customHeight="1">
      <c r="A57" s="40" t="s">
        <v>175</v>
      </c>
      <c r="B57" s="40" t="s">
        <v>2388</v>
      </c>
      <c r="C57" s="87" t="s">
        <v>87</v>
      </c>
      <c r="D57" s="40">
        <v>0.021</v>
      </c>
      <c r="E57" s="40">
        <v>0.020675</v>
      </c>
      <c r="F57" s="42" t="s">
        <v>43</v>
      </c>
      <c r="G57" s="43" t="s">
        <v>34</v>
      </c>
      <c r="H57" s="44" t="s">
        <v>35</v>
      </c>
      <c r="I57" s="45">
        <v>5000</v>
      </c>
      <c r="J57" s="46">
        <v>50231095.89</v>
      </c>
      <c r="K57" s="47">
        <v>46307</v>
      </c>
      <c r="L57" s="48">
        <f>NETWORKDAYS(K57,TODAY(),$A$143:$A$148)</f>
        <v>2</v>
      </c>
      <c r="M57" s="49" t="s"/>
      <c r="N57" s="42" t="s">
        <v>48</v>
      </c>
      <c r="O57" s="50" t="s"/>
      <c r="P57" s="40">
        <v>0.019602</v>
      </c>
      <c r="Q57" s="51">
        <v>249400</v>
      </c>
      <c r="R57" s="52">
        <f>E57*I57/365*10000</f>
        <v>2832.19178082192</v>
      </c>
      <c r="S57" s="57">
        <v>5.5</v>
      </c>
      <c r="T57" s="53" t="s"/>
      <c r="U57" s="54" t="s"/>
      <c r="V57" s="55" t="s"/>
      <c r="W57" s="55" t="s"/>
      <c r="X57" s="55" t="s"/>
      <c r="Y57" s="55" t="s"/>
      <c r="Z57" s="55" t="s"/>
      <c r="AA57" s="56" t="s"/>
      <c r="AB57" s="56" t="s"/>
      <c r="AC57" s="56" t="s"/>
      <c r="AD57" s="56" t="s"/>
    </row>
    <row r="58" spans="1:30" s="751" customFormat="1" ht="16.5" customHeight="1">
      <c r="A58" s="40" t="s">
        <v>176</v>
      </c>
      <c r="B58" s="40" t="s">
        <v>2389</v>
      </c>
      <c r="C58" s="87" t="s">
        <v>177</v>
      </c>
      <c r="D58" s="40">
        <v>0.023</v>
      </c>
      <c r="E58" s="40">
        <v>0.015001</v>
      </c>
      <c r="F58" s="42" t="s">
        <v>33</v>
      </c>
      <c r="G58" s="43" t="s">
        <v>34</v>
      </c>
      <c r="H58" s="44" t="s">
        <v>35</v>
      </c>
      <c r="I58" s="45">
        <v>1000</v>
      </c>
      <c r="J58" s="46">
        <v>10253452.05</v>
      </c>
      <c r="K58" s="47">
        <v>46307</v>
      </c>
      <c r="L58" s="48">
        <f>NETWORKDAYS(K58,TODAY(),$A$143:$A$148)</f>
        <v>2</v>
      </c>
      <c r="M58" s="49" t="s"/>
      <c r="N58" s="42" t="s">
        <v>48</v>
      </c>
      <c r="O58" s="50" t="s"/>
      <c r="P58" s="40">
        <v>0.015975</v>
      </c>
      <c r="Q58" s="51">
        <v>-12170</v>
      </c>
      <c r="R58" s="52">
        <f>E58*I58/365*10000</f>
        <v>410.986301369863</v>
      </c>
      <c r="S58" s="57">
        <v>10</v>
      </c>
      <c r="T58" s="53" t="s"/>
      <c r="U58" s="54" t="s"/>
      <c r="V58" s="55" t="s"/>
      <c r="W58" s="55" t="s"/>
      <c r="X58" s="55" t="s"/>
      <c r="Y58" s="55" t="s"/>
      <c r="Z58" s="55" t="s"/>
      <c r="AA58" s="56" t="s"/>
      <c r="AB58" s="56" t="s"/>
      <c r="AC58" s="56" t="s"/>
      <c r="AD58" s="56" t="s"/>
    </row>
    <row r="59" spans="1:30" s="751" customFormat="1" ht="16.5" customHeight="1">
      <c r="A59" s="40" t="s">
        <v>178</v>
      </c>
      <c r="B59" s="40" t="s">
        <v>179</v>
      </c>
      <c r="C59" s="87" t="s">
        <v>180</v>
      </c>
      <c r="D59" s="40">
        <v>0.0197</v>
      </c>
      <c r="E59" s="40">
        <v>0.0159</v>
      </c>
      <c r="F59" s="42" t="s">
        <v>50</v>
      </c>
      <c r="G59" s="43" t="s">
        <v>34</v>
      </c>
      <c r="H59" s="44" t="s">
        <v>35</v>
      </c>
      <c r="I59" s="45">
        <v>1000</v>
      </c>
      <c r="J59" s="46">
        <v>10200883.56</v>
      </c>
      <c r="K59" s="47">
        <v>46307</v>
      </c>
      <c r="L59" s="48">
        <f>NETWORKDAYS(K59,TODAY(),$A$143:$A$148)</f>
        <v>2</v>
      </c>
      <c r="M59" s="49" t="s"/>
      <c r="N59" s="42" t="s">
        <v>48</v>
      </c>
      <c r="O59" s="50" t="s"/>
      <c r="P59" s="40">
        <v>0.016722</v>
      </c>
      <c r="Q59" s="51">
        <v>-19440</v>
      </c>
      <c r="R59" s="52">
        <f>E59*I59/365*10000</f>
        <v>435.616438356164</v>
      </c>
      <c r="S59" s="57">
        <v>20</v>
      </c>
      <c r="T59" s="53" t="s"/>
      <c r="U59" s="54" t="s"/>
      <c r="V59" s="55" t="s"/>
      <c r="W59" s="55" t="s"/>
      <c r="X59" s="55" t="s"/>
      <c r="Y59" s="55" t="s"/>
      <c r="Z59" s="55" t="s"/>
      <c r="AA59" s="56" t="s"/>
      <c r="AB59" s="56" t="s"/>
      <c r="AC59" s="56" t="s"/>
      <c r="AD59" s="56" t="s"/>
    </row>
    <row r="60" spans="1:30" s="751" customFormat="1" ht="16.5" customHeight="1">
      <c r="A60" s="40" t="s">
        <v>181</v>
      </c>
      <c r="B60" s="40" t="s">
        <v>2390</v>
      </c>
      <c r="C60" s="87" t="s">
        <v>182</v>
      </c>
      <c r="D60" s="40">
        <v>0.0185</v>
      </c>
      <c r="E60" s="40">
        <v>0.015401</v>
      </c>
      <c r="F60" s="42" t="s">
        <v>33</v>
      </c>
      <c r="G60" s="43" t="s">
        <v>34</v>
      </c>
      <c r="H60" s="44" t="s">
        <v>35</v>
      </c>
      <c r="I60" s="45">
        <v>1000</v>
      </c>
      <c r="J60" s="46">
        <v>10178431.51</v>
      </c>
      <c r="K60" s="47">
        <v>46307</v>
      </c>
      <c r="L60" s="48">
        <f>NETWORKDAYS(K60,TODAY(),$A$143:$A$148)</f>
        <v>2</v>
      </c>
      <c r="M60" s="49" t="s"/>
      <c r="N60" s="42" t="s">
        <v>48</v>
      </c>
      <c r="O60" s="50" t="s"/>
      <c r="P60" s="40">
        <v>0.016263</v>
      </c>
      <c r="Q60" s="51">
        <v>-19880</v>
      </c>
      <c r="R60" s="52">
        <f>E60*I60/365*10000</f>
        <v>421.945205479452</v>
      </c>
      <c r="S60" s="57">
        <v>3</v>
      </c>
      <c r="T60" s="53" t="s"/>
      <c r="U60" s="54" t="s"/>
      <c r="V60" s="55" t="s"/>
      <c r="W60" s="55" t="s"/>
      <c r="X60" s="55" t="s"/>
      <c r="Y60" s="55" t="s"/>
      <c r="Z60" s="55" t="s"/>
      <c r="AA60" s="56" t="s"/>
      <c r="AB60" s="56" t="s"/>
      <c r="AC60" s="56" t="s"/>
      <c r="AD60" s="56" t="s"/>
    </row>
    <row r="61" spans="1:30" s="751" customFormat="1" ht="16.5" customHeight="1">
      <c r="A61" s="40" t="s">
        <v>183</v>
      </c>
      <c r="B61" s="40" t="s">
        <v>184</v>
      </c>
      <c r="C61" s="87" t="s">
        <v>185</v>
      </c>
      <c r="D61" s="40">
        <v>0.0284</v>
      </c>
      <c r="E61" s="40">
        <v>0.0163</v>
      </c>
      <c r="F61" s="42" t="s">
        <v>50</v>
      </c>
      <c r="G61" s="43" t="s">
        <v>64</v>
      </c>
      <c r="H61" s="44" t="s">
        <v>35</v>
      </c>
      <c r="I61" s="45">
        <v>1000</v>
      </c>
      <c r="J61" s="46">
        <v>10439891.78</v>
      </c>
      <c r="K61" s="47">
        <v>46307</v>
      </c>
      <c r="L61" s="48">
        <f>NETWORKDAYS(K61,TODAY(),$A$143:$A$148)</f>
        <v>2</v>
      </c>
      <c r="M61" s="49" t="s"/>
      <c r="N61" s="42" t="s">
        <v>48</v>
      </c>
      <c r="O61" s="50" t="s"/>
      <c r="P61" s="40">
        <v>0.017219</v>
      </c>
      <c r="Q61" s="51">
        <v>-21960</v>
      </c>
      <c r="R61" s="52">
        <f>E61*I61/365*10000</f>
        <v>446.575342465753</v>
      </c>
      <c r="S61" s="57">
        <v>10</v>
      </c>
      <c r="T61" s="53" t="s"/>
      <c r="U61" s="54" t="s"/>
      <c r="V61" s="55" t="s"/>
      <c r="W61" s="55" t="s"/>
      <c r="X61" s="55" t="s"/>
      <c r="Y61" s="55" t="s"/>
      <c r="Z61" s="55" t="s"/>
      <c r="AA61" s="56" t="s"/>
      <c r="AB61" s="56" t="s"/>
      <c r="AC61" s="56" t="s"/>
      <c r="AD61" s="56" t="s"/>
    </row>
    <row r="62" spans="1:30" s="751" customFormat="1" ht="16.5" customHeight="1">
      <c r="A62" s="40" t="s">
        <v>186</v>
      </c>
      <c r="B62" s="40" t="s">
        <v>2391</v>
      </c>
      <c r="C62" s="87" t="s">
        <v>187</v>
      </c>
      <c r="D62" s="40">
        <v>0.0234</v>
      </c>
      <c r="E62" s="40">
        <v>0.0204</v>
      </c>
      <c r="F62" s="42" t="s">
        <v>33</v>
      </c>
      <c r="G62" s="43" t="s">
        <v>34</v>
      </c>
      <c r="H62" s="44" t="s">
        <v>35</v>
      </c>
      <c r="I62" s="45">
        <v>1000</v>
      </c>
      <c r="J62" s="46">
        <v>10162630.14</v>
      </c>
      <c r="K62" s="47">
        <v>46307</v>
      </c>
      <c r="L62" s="48">
        <f>NETWORKDAYS(K62,TODAY(),$A$143:$A$148)</f>
        <v>2</v>
      </c>
      <c r="M62" s="49" t="s"/>
      <c r="N62" s="42" t="s">
        <v>48</v>
      </c>
      <c r="O62" s="50" t="s"/>
      <c r="P62" s="40">
        <v>0.020525</v>
      </c>
      <c r="Q62" s="51">
        <v>-2390</v>
      </c>
      <c r="R62" s="52">
        <f>E62*I62/365*10000</f>
        <v>558.904109589041</v>
      </c>
      <c r="S62" s="57">
        <v>2.9</v>
      </c>
      <c r="T62" s="53" t="s"/>
      <c r="U62" s="54" t="s"/>
      <c r="V62" s="55" t="s"/>
      <c r="W62" s="55" t="s"/>
      <c r="X62" s="55" t="s"/>
      <c r="Y62" s="55" t="s"/>
      <c r="Z62" s="55" t="s"/>
      <c r="AA62" s="56" t="s"/>
      <c r="AB62" s="56" t="s"/>
      <c r="AC62" s="56" t="s"/>
      <c r="AD62" s="56" t="s"/>
    </row>
    <row r="63" spans="1:30" s="751" customFormat="1" ht="16.5" customHeight="1">
      <c r="A63" s="40" t="s">
        <v>188</v>
      </c>
      <c r="B63" s="40" t="s">
        <v>2392</v>
      </c>
      <c r="C63" s="87" t="s">
        <v>189</v>
      </c>
      <c r="D63" s="40">
        <v>0.0279</v>
      </c>
      <c r="E63" s="40">
        <v>0.018601</v>
      </c>
      <c r="F63" s="42" t="s">
        <v>43</v>
      </c>
      <c r="G63" s="43" t="s">
        <v>34</v>
      </c>
      <c r="H63" s="44" t="s">
        <v>35</v>
      </c>
      <c r="I63" s="45">
        <v>1000</v>
      </c>
      <c r="J63" s="46">
        <v>10193773.97</v>
      </c>
      <c r="K63" s="47">
        <v>46307</v>
      </c>
      <c r="L63" s="48">
        <f>NETWORKDAYS(K63,TODAY(),$A$143:$A$148)</f>
        <v>2</v>
      </c>
      <c r="M63" s="49" t="s"/>
      <c r="N63" s="42" t="s">
        <v>48</v>
      </c>
      <c r="O63" s="50" t="s"/>
      <c r="P63" s="40">
        <v>0.018687</v>
      </c>
      <c r="Q63" s="51">
        <v>-380</v>
      </c>
      <c r="R63" s="52">
        <f>E63*I63/365*10000</f>
        <v>509.616438356164</v>
      </c>
      <c r="S63" s="57">
        <v>6.5</v>
      </c>
      <c r="T63" s="53" t="s"/>
      <c r="U63" s="54" t="s"/>
      <c r="V63" s="55" t="s"/>
      <c r="W63" s="55" t="s"/>
      <c r="X63" s="55" t="s"/>
      <c r="Y63" s="55" t="s"/>
      <c r="Z63" s="55" t="s"/>
      <c r="AA63" s="56" t="s"/>
      <c r="AB63" s="56" t="s"/>
      <c r="AC63" s="56" t="s"/>
      <c r="AD63" s="56" t="s"/>
    </row>
    <row r="64" spans="1:30" s="751" customFormat="1" ht="16.5" customHeight="1">
      <c r="A64" s="40" t="s">
        <v>190</v>
      </c>
      <c r="B64" s="40" t="s">
        <v>2393</v>
      </c>
      <c r="C64" s="87" t="s">
        <v>191</v>
      </c>
      <c r="D64" s="40">
        <v>0.0297</v>
      </c>
      <c r="E64" s="40">
        <v>0.020532</v>
      </c>
      <c r="F64" s="42" t="s">
        <v>33</v>
      </c>
      <c r="G64" s="43" t="s">
        <v>64</v>
      </c>
      <c r="H64" s="44" t="s">
        <v>35</v>
      </c>
      <c r="I64" s="45">
        <v>1000</v>
      </c>
      <c r="J64" s="46">
        <v>10676591.92</v>
      </c>
      <c r="K64" s="47">
        <v>46307</v>
      </c>
      <c r="L64" s="48">
        <f>NETWORKDAYS(K64,TODAY(),$A$143:$A$148)</f>
        <v>2</v>
      </c>
      <c r="M64" s="49" t="s"/>
      <c r="N64" s="42" t="s">
        <v>134</v>
      </c>
      <c r="O64" s="50" t="s"/>
      <c r="P64" s="40">
        <v>0.019851</v>
      </c>
      <c r="Q64" s="51">
        <v>35850</v>
      </c>
      <c r="R64" s="52">
        <f>E64*I64/365*10000</f>
        <v>562.520547945206</v>
      </c>
      <c r="S64" s="57">
        <v>5</v>
      </c>
      <c r="T64" s="53" t="s"/>
      <c r="U64" s="54" t="s"/>
      <c r="V64" s="55" t="s"/>
      <c r="W64" s="55" t="s"/>
      <c r="X64" s="55" t="s"/>
      <c r="Y64" s="55" t="s"/>
      <c r="Z64" s="55" t="s"/>
      <c r="AA64" s="56" t="s"/>
      <c r="AB64" s="56" t="s"/>
      <c r="AC64" s="56" t="s"/>
      <c r="AD64" s="56" t="s"/>
    </row>
    <row r="65" spans="1:30" s="751" customFormat="1" ht="16.5" customHeight="1">
      <c r="A65" s="40" t="s">
        <v>192</v>
      </c>
      <c r="B65" s="40" t="s">
        <v>2394</v>
      </c>
      <c r="C65" s="87" t="s">
        <v>193</v>
      </c>
      <c r="D65" s="40">
        <v>0.029</v>
      </c>
      <c r="E65" s="40">
        <v>0.027438</v>
      </c>
      <c r="F65" s="42" t="s">
        <v>33</v>
      </c>
      <c r="G65" s="43" t="s">
        <v>34</v>
      </c>
      <c r="H65" s="44" t="s">
        <v>35</v>
      </c>
      <c r="I65" s="45">
        <v>16000</v>
      </c>
      <c r="J65" s="46">
        <v>161175693.15</v>
      </c>
      <c r="K65" s="47">
        <v>46307</v>
      </c>
      <c r="L65" s="48">
        <f>NETWORKDAYS(K65,TODAY(),$A$143:$A$148)</f>
        <v>2</v>
      </c>
      <c r="M65" s="49" t="s"/>
      <c r="N65" s="42" t="s">
        <v>48</v>
      </c>
      <c r="O65" s="50" t="s"/>
      <c r="P65" s="40">
        <v>0.027357</v>
      </c>
      <c r="Q65" s="51">
        <v>50400</v>
      </c>
      <c r="R65" s="52">
        <f>E65*I65/365*10000</f>
        <v>12027.6164383562</v>
      </c>
      <c r="S65" s="57">
        <v>19</v>
      </c>
      <c r="T65" s="53" t="s"/>
      <c r="U65" s="54" t="s"/>
      <c r="V65" s="55" t="s"/>
      <c r="W65" s="55" t="s"/>
      <c r="X65" s="55" t="s"/>
      <c r="Y65" s="55" t="s"/>
      <c r="Z65" s="55" t="s"/>
      <c r="AA65" s="56" t="s"/>
      <c r="AB65" s="56" t="s"/>
      <c r="AC65" s="56" t="s"/>
      <c r="AD65" s="56" t="s"/>
    </row>
    <row r="66" spans="1:30" s="751" customFormat="1" ht="16.5" customHeight="1">
      <c r="A66" s="40" t="s">
        <v>194</v>
      </c>
      <c r="B66" s="40" t="s">
        <v>2395</v>
      </c>
      <c r="C66" s="87" t="s">
        <v>195</v>
      </c>
      <c r="D66" s="40">
        <v>0.0194</v>
      </c>
      <c r="E66" s="40">
        <v>0.0192</v>
      </c>
      <c r="F66" s="42" t="s">
        <v>33</v>
      </c>
      <c r="G66" s="43" t="s"/>
      <c r="H66" s="44" t="s">
        <v>35</v>
      </c>
      <c r="I66" s="45">
        <v>5000</v>
      </c>
      <c r="J66" s="46">
        <v>50083863.01</v>
      </c>
      <c r="K66" s="47">
        <v>46307</v>
      </c>
      <c r="L66" s="48">
        <f>NETWORKDAYS(K66,TODAY(),$A$143:$A$148)</f>
        <v>2</v>
      </c>
      <c r="M66" s="49" t="s"/>
      <c r="N66" s="42" t="s">
        <v>48</v>
      </c>
      <c r="O66" s="50" t="s"/>
      <c r="P66" s="40">
        <v>0.019199</v>
      </c>
      <c r="Q66" s="51">
        <v>2800</v>
      </c>
      <c r="R66" s="52">
        <f>E66*I66/365*10000</f>
        <v>2630.13698630137</v>
      </c>
      <c r="S66" s="57">
        <v>20</v>
      </c>
      <c r="T66" s="53" t="s"/>
      <c r="U66" s="54" t="s"/>
      <c r="V66" s="55" t="s"/>
      <c r="W66" s="55" t="s"/>
      <c r="X66" s="55" t="s"/>
      <c r="Y66" s="55" t="s"/>
      <c r="Z66" s="55" t="s"/>
      <c r="AA66" s="56" t="s"/>
      <c r="AB66" s="56" t="s"/>
      <c r="AC66" s="56" t="s"/>
      <c r="AD66" s="56" t="s"/>
    </row>
    <row r="67" spans="1:30" s="751" customFormat="1" ht="16.5" customHeight="1">
      <c r="A67" s="40" t="s">
        <v>196</v>
      </c>
      <c r="B67" s="40" t="s">
        <v>197</v>
      </c>
      <c r="C67" s="87" t="s">
        <v>198</v>
      </c>
      <c r="D67" s="40">
        <v>0.029</v>
      </c>
      <c r="E67" s="40">
        <v>0.02979</v>
      </c>
      <c r="F67" s="42" t="s">
        <v>33</v>
      </c>
      <c r="G67" s="43" t="s"/>
      <c r="H67" s="44" t="s">
        <v>35</v>
      </c>
      <c r="I67" s="45">
        <v>2000</v>
      </c>
      <c r="J67" s="46">
        <v>20559692.88</v>
      </c>
      <c r="K67" s="47">
        <v>46307</v>
      </c>
      <c r="L67" s="48">
        <f>NETWORKDAYS(K67,TODAY(),$A$143:$A$148)</f>
        <v>2</v>
      </c>
      <c r="M67" s="49" t="s"/>
      <c r="N67" s="42" t="s">
        <v>48</v>
      </c>
      <c r="O67" s="50" t="s"/>
      <c r="P67" s="40">
        <v>0.028258</v>
      </c>
      <c r="Q67" s="51">
        <v>30040</v>
      </c>
      <c r="R67" s="52">
        <f>E67*I67/365*10000</f>
        <v>1632.32876712329</v>
      </c>
      <c r="S67" s="57">
        <v>15.4</v>
      </c>
      <c r="T67" s="53" t="s"/>
      <c r="U67" s="54" t="s"/>
      <c r="V67" s="55" t="s"/>
      <c r="W67" s="55" t="s"/>
      <c r="X67" s="55" t="s"/>
      <c r="Y67" s="55" t="s"/>
      <c r="Z67" s="55" t="s"/>
      <c r="AA67" s="56" t="s"/>
      <c r="AB67" s="56" t="s"/>
      <c r="AC67" s="56" t="s"/>
      <c r="AD67" s="56" t="s"/>
    </row>
    <row r="68" spans="1:30" s="751" customFormat="1" ht="16.5" customHeight="1">
      <c r="A68" s="40" t="s">
        <v>2351</v>
      </c>
      <c r="B68" s="40" t="s">
        <v>2396</v>
      </c>
      <c r="C68" s="87" t="s">
        <v>2355</v>
      </c>
      <c r="D68" s="40">
        <v>0.0248</v>
      </c>
      <c r="E68" s="40">
        <v>0.021518</v>
      </c>
      <c r="F68" s="42" t="s">
        <v>33</v>
      </c>
      <c r="G68" s="43" t="s"/>
      <c r="H68" s="44" t="s">
        <v>35</v>
      </c>
      <c r="I68" s="45">
        <v>2000</v>
      </c>
      <c r="J68" s="46">
        <v>20484076.71</v>
      </c>
      <c r="K68" s="47">
        <v>46308</v>
      </c>
      <c r="L68" s="48">
        <f>NETWORKDAYS(K68,TODAY(),$A$143:$A$148)</f>
        <v>1</v>
      </c>
      <c r="M68" s="49" t="s"/>
      <c r="N68" s="42" t="s">
        <v>134</v>
      </c>
      <c r="O68" s="50" t="s"/>
      <c r="P68" s="40">
        <v>0.020213</v>
      </c>
      <c r="Q68" s="51">
        <v>116120</v>
      </c>
      <c r="R68" s="52">
        <f>E68*I68/365*10000</f>
        <v>1179.06849315069</v>
      </c>
      <c r="S68" s="57">
        <v>10</v>
      </c>
      <c r="T68" s="53" t="s"/>
      <c r="U68" s="54" t="s"/>
      <c r="V68" s="55" t="s"/>
      <c r="W68" s="55" t="s"/>
      <c r="X68" s="55" t="s"/>
      <c r="Y68" s="55" t="s"/>
      <c r="Z68" s="55" t="s"/>
      <c r="AA68" s="56" t="s"/>
      <c r="AB68" s="56" t="s"/>
      <c r="AC68" s="56" t="s"/>
      <c r="AD68" s="56" t="s"/>
    </row>
    <row r="69" spans="1:30" s="751" customFormat="1" ht="16.5" customHeight="1">
      <c r="A69" s="40" t="s">
        <v>2352</v>
      </c>
      <c r="B69" s="40" t="s">
        <v>2397</v>
      </c>
      <c r="C69" s="87" t="s">
        <v>2359</v>
      </c>
      <c r="D69" s="40">
        <v>0.0215</v>
      </c>
      <c r="E69" s="40">
        <v>0.021068</v>
      </c>
      <c r="F69" s="42" t="s">
        <v>33</v>
      </c>
      <c r="G69" s="43" t="s"/>
      <c r="H69" s="44" t="s">
        <v>35</v>
      </c>
      <c r="I69" s="45">
        <v>2000</v>
      </c>
      <c r="J69" s="46">
        <v>20105928.77</v>
      </c>
      <c r="K69" s="47">
        <v>46308</v>
      </c>
      <c r="L69" s="48">
        <f>NETWORKDAYS(K69,TODAY(),$A$143:$A$148)</f>
        <v>1</v>
      </c>
      <c r="M69" s="49" t="s"/>
      <c r="N69" s="42" t="s">
        <v>134</v>
      </c>
      <c r="O69" s="50" t="s"/>
      <c r="P69" s="40">
        <v>0.01997</v>
      </c>
      <c r="Q69" s="51">
        <v>101900</v>
      </c>
      <c r="R69" s="52">
        <f>E69*I69/365*10000</f>
        <v>1154.41095890411</v>
      </c>
      <c r="S69" s="57">
        <v>8</v>
      </c>
      <c r="T69" s="53" t="s"/>
      <c r="U69" s="54" t="s"/>
      <c r="V69" s="55" t="s"/>
      <c r="W69" s="55" t="s"/>
      <c r="X69" s="55" t="s"/>
      <c r="Y69" s="55" t="s"/>
      <c r="Z69" s="55" t="s"/>
      <c r="AA69" s="56" t="s"/>
      <c r="AB69" s="56" t="s"/>
      <c r="AC69" s="56" t="s"/>
      <c r="AD69" s="56" t="s"/>
    </row>
    <row r="70" spans="1:30" s="751" customFormat="1" ht="16.5" customHeight="1">
      <c r="A70" s="40" t="s">
        <v>1469</v>
      </c>
      <c r="B70" s="40" t="s">
        <v>2398</v>
      </c>
      <c r="C70" s="87" t="s">
        <v>2360</v>
      </c>
      <c r="D70" s="40">
        <v>0.0233</v>
      </c>
      <c r="E70" s="40">
        <v>0.021059</v>
      </c>
      <c r="F70" s="42" t="s">
        <v>50</v>
      </c>
      <c r="G70" s="43" t="s"/>
      <c r="H70" s="44" t="s">
        <v>35</v>
      </c>
      <c r="I70" s="45">
        <v>6000</v>
      </c>
      <c r="J70" s="46">
        <v>60531895.89</v>
      </c>
      <c r="K70" s="47">
        <v>46308</v>
      </c>
      <c r="L70" s="48">
        <f>NETWORKDAYS(K70,TODAY(),$A$143:$A$148)</f>
        <v>1</v>
      </c>
      <c r="M70" s="49" t="s"/>
      <c r="N70" s="42" t="s">
        <v>48</v>
      </c>
      <c r="O70" s="50" t="s"/>
      <c r="P70" s="40">
        <v>0.020461</v>
      </c>
      <c r="Q70" s="51">
        <v>104400</v>
      </c>
      <c r="R70" s="52">
        <f>E70*I70/365*10000</f>
        <v>3461.75342465754</v>
      </c>
      <c r="S70" s="57">
        <v>4</v>
      </c>
      <c r="T70" s="53" t="s"/>
      <c r="U70" s="54" t="s"/>
      <c r="V70" s="55" t="s"/>
      <c r="W70" s="55" t="s"/>
      <c r="X70" s="55" t="s"/>
      <c r="Y70" s="55" t="s"/>
      <c r="Z70" s="55" t="s"/>
      <c r="AA70" s="56" t="s"/>
      <c r="AB70" s="56" t="s"/>
      <c r="AC70" s="56" t="s"/>
      <c r="AD70" s="56" t="s"/>
    </row>
    <row r="71" spans="1:30" s="751" customFormat="1" ht="16.5" customHeight="1">
      <c r="A71" s="40" t="s">
        <v>2353</v>
      </c>
      <c r="B71" s="40" t="s">
        <v>2399</v>
      </c>
      <c r="C71" s="87" t="s">
        <v>2364</v>
      </c>
      <c r="D71" s="40">
        <v>0.0283</v>
      </c>
      <c r="E71" s="40">
        <v>0.019999</v>
      </c>
      <c r="F71" s="42" t="s">
        <v>33</v>
      </c>
      <c r="G71" s="43" t="s"/>
      <c r="H71" s="44" t="s">
        <v>35</v>
      </c>
      <c r="I71" s="45">
        <v>2000</v>
      </c>
      <c r="J71" s="46">
        <v>20808052.05</v>
      </c>
      <c r="K71" s="47">
        <v>46308</v>
      </c>
      <c r="L71" s="48">
        <f>NETWORKDAYS(K71,TODAY(),$A$143:$A$148)</f>
        <v>1</v>
      </c>
      <c r="M71" s="49" t="s"/>
      <c r="N71" s="42" t="s">
        <v>48</v>
      </c>
      <c r="O71" s="50" t="s"/>
      <c r="P71" s="40">
        <v>0.020061</v>
      </c>
      <c r="Q71" s="51">
        <v>-700</v>
      </c>
      <c r="R71" s="52">
        <f>E71*I71/365*10000</f>
        <v>1095.83561643836</v>
      </c>
      <c r="S71" s="57">
        <v>5.2</v>
      </c>
      <c r="T71" s="53" t="s"/>
      <c r="U71" s="54" t="s"/>
      <c r="V71" s="55" t="s"/>
      <c r="W71" s="55" t="s"/>
      <c r="X71" s="55" t="s"/>
      <c r="Y71" s="55" t="s"/>
      <c r="Z71" s="55" t="s"/>
      <c r="AA71" s="56" t="s"/>
      <c r="AB71" s="56" t="s"/>
      <c r="AC71" s="56" t="s"/>
      <c r="AD71" s="56" t="s"/>
    </row>
    <row r="72" spans="1:30" s="751" customFormat="1" ht="20.25" hidden="1" customHeight="1">
      <c r="A72" s="88" t="s">
        <v>199</v>
      </c>
      <c r="B72" s="88" t="s">
        <v>200</v>
      </c>
      <c r="C72" s="89" t="s"/>
      <c r="D72" s="90" t="s"/>
      <c r="E72" s="91">
        <v>0.041874</v>
      </c>
      <c r="F72" s="92" t="s">
        <v>43</v>
      </c>
      <c r="G72" s="93" t="s"/>
      <c r="H72" s="44" t="s">
        <v>35</v>
      </c>
      <c r="I72" s="94">
        <v>1000</v>
      </c>
      <c r="J72" s="58">
        <v>10049678.0833333</v>
      </c>
      <c r="K72" s="47" t="s"/>
      <c r="L72" s="95">
        <f>NETWORKDAYS(K72,TODAY(),$A$143:$A$148)</f>
        <v>33071</v>
      </c>
      <c r="M72" s="96" t="s"/>
      <c r="N72" s="97" t="s">
        <v>201</v>
      </c>
      <c r="O72" s="98">
        <v>0</v>
      </c>
      <c r="P72" s="99">
        <v>0</v>
      </c>
      <c r="Q72" s="100">
        <f>E72*I72/365*10000</f>
        <v>1147.23287671233</v>
      </c>
      <c r="R72" s="52">
        <v>2.05</v>
      </c>
      <c r="S72" s="55" t="s"/>
      <c r="T72" s="55" t="s"/>
      <c r="U72" s="101" t="s"/>
      <c r="V72" s="55" t="s"/>
      <c r="W72" s="55" t="s"/>
      <c r="X72" s="55" t="s"/>
      <c r="Y72" s="55" t="s"/>
      <c r="Z72" s="55" t="s"/>
      <c r="AA72" s="56" t="s"/>
      <c r="AB72" s="56" t="s"/>
      <c r="AC72" s="56" t="s"/>
      <c r="AD72" s="56" t="s"/>
    </row>
    <row r="73" spans="1:30" s="751" customFormat="1" ht="20.25" hidden="1" customHeight="1">
      <c r="A73" s="88" t="s">
        <v>202</v>
      </c>
      <c r="B73" s="88" t="s">
        <v>203</v>
      </c>
      <c r="C73" s="41" t="s"/>
      <c r="D73" s="91">
        <v>0.046</v>
      </c>
      <c r="E73" s="91">
        <v>0.045374</v>
      </c>
      <c r="F73" s="92" t="s">
        <v>43</v>
      </c>
      <c r="G73" s="93" t="s"/>
      <c r="H73" s="44" t="s">
        <v>35</v>
      </c>
      <c r="I73" s="94">
        <v>3000</v>
      </c>
      <c r="J73" s="58">
        <v>30267918.49</v>
      </c>
      <c r="K73" s="102">
        <v>46199</v>
      </c>
      <c r="L73" s="95">
        <f>NETWORKDAYS(K73,TODAY(),$A$143:$A$148)</f>
        <v>72</v>
      </c>
      <c r="M73" s="96" t="s"/>
      <c r="N73" s="97" t="s">
        <v>201</v>
      </c>
      <c r="O73" s="98">
        <v>0</v>
      </c>
      <c r="P73" s="99">
        <v>0.0337</v>
      </c>
      <c r="Q73" s="100">
        <f>E73*I73/365*10000</f>
        <v>3729.3698630137</v>
      </c>
      <c r="R73" s="52">
        <v>2.1</v>
      </c>
      <c r="S73" s="103" t="s"/>
      <c r="T73" s="55" t="s"/>
      <c r="U73" s="101" t="s"/>
      <c r="V73" s="55" t="s"/>
      <c r="W73" s="55" t="s"/>
      <c r="X73" s="55" t="s"/>
      <c r="Y73" s="55" t="s"/>
      <c r="Z73" s="55" t="s"/>
      <c r="AA73" s="56" t="s"/>
      <c r="AB73" s="56" t="s"/>
      <c r="AC73" s="56" t="s"/>
      <c r="AD73" s="56" t="s"/>
    </row>
    <row r="74" spans="1:30" s="751" customFormat="1" ht="20.25" hidden="1" customHeight="1">
      <c r="A74" s="88" t="s">
        <v>204</v>
      </c>
      <c r="B74" s="88" t="s">
        <v>205</v>
      </c>
      <c r="C74" s="41" t="s"/>
      <c r="D74" s="91">
        <v>0.047</v>
      </c>
      <c r="E74" s="91">
        <v>0.045373</v>
      </c>
      <c r="F74" s="92" t="s">
        <v>43</v>
      </c>
      <c r="G74" s="93" t="s"/>
      <c r="H74" s="44" t="s">
        <v>35</v>
      </c>
      <c r="I74" s="94">
        <v>3000</v>
      </c>
      <c r="J74" s="58">
        <v>30350977.81</v>
      </c>
      <c r="K74" s="102">
        <v>46199</v>
      </c>
      <c r="L74" s="95">
        <f>NETWORKDAYS(K74,TODAY(),$A$143:$A$148)</f>
        <v>72</v>
      </c>
      <c r="M74" s="96" t="s"/>
      <c r="N74" s="97" t="s">
        <v>201</v>
      </c>
      <c r="O74" s="98">
        <v>0</v>
      </c>
      <c r="P74" s="99">
        <v>0.0291</v>
      </c>
      <c r="Q74" s="100">
        <f>E74*I74/365*10000</f>
        <v>3729.28767123288</v>
      </c>
      <c r="R74" s="52">
        <v>2.3</v>
      </c>
      <c r="S74" s="103" t="s"/>
      <c r="T74" s="55" t="s"/>
      <c r="U74" s="101" t="s"/>
      <c r="V74" s="55" t="s"/>
      <c r="W74" s="55" t="s"/>
      <c r="X74" s="55" t="s"/>
      <c r="Y74" s="55" t="s"/>
      <c r="Z74" s="55" t="s"/>
      <c r="AA74" s="56" t="s"/>
      <c r="AB74" s="56" t="s"/>
      <c r="AC74" s="56" t="s"/>
      <c r="AD74" s="56" t="s"/>
    </row>
    <row r="75" spans="1:30" s="751" customFormat="1" ht="20.25" hidden="1" customHeight="1">
      <c r="A75" s="88" t="s">
        <v>206</v>
      </c>
      <c r="B75" s="88" t="s">
        <v>207</v>
      </c>
      <c r="C75" s="41" t="s"/>
      <c r="D75" s="91">
        <v>0.048</v>
      </c>
      <c r="E75" s="91">
        <v>0.045373</v>
      </c>
      <c r="F75" s="92" t="s">
        <v>43</v>
      </c>
      <c r="G75" s="93" t="s"/>
      <c r="H75" s="44" t="s">
        <v>35</v>
      </c>
      <c r="I75" s="94">
        <v>3000</v>
      </c>
      <c r="J75" s="58">
        <v>30434037.12</v>
      </c>
      <c r="K75" s="102">
        <v>46199</v>
      </c>
      <c r="L75" s="95">
        <f>NETWORKDAYS(K75,TODAY(),$A$143:$A$148)</f>
        <v>72</v>
      </c>
      <c r="M75" s="96" t="s"/>
      <c r="N75" s="97" t="s">
        <v>201</v>
      </c>
      <c r="O75" s="98">
        <v>0</v>
      </c>
      <c r="P75" s="99">
        <v>0.0285</v>
      </c>
      <c r="Q75" s="100">
        <f>E75*I75/365*10000</f>
        <v>3729.28767123288</v>
      </c>
      <c r="R75" s="52">
        <v>2.5</v>
      </c>
      <c r="S75" s="103" t="s"/>
      <c r="T75" s="55" t="s"/>
      <c r="U75" s="101" t="s"/>
      <c r="V75" s="55" t="s"/>
      <c r="W75" s="55" t="s"/>
      <c r="X75" s="55" t="s"/>
      <c r="Y75" s="55" t="s"/>
      <c r="Z75" s="55" t="s"/>
      <c r="AA75" s="56" t="s"/>
      <c r="AB75" s="56" t="s"/>
      <c r="AC75" s="56" t="s"/>
      <c r="AD75" s="56" t="s"/>
    </row>
    <row r="76" spans="1:30" s="751" customFormat="1" ht="20.25" customHeight="1">
      <c r="A76" s="104" t="s">
        <v>208</v>
      </c>
      <c r="B76" s="104" t="s"/>
      <c r="C76" s="105" t="s"/>
      <c r="D76" s="106" t="s">
        <v>209</v>
      </c>
      <c r="E76" s="107" t="s"/>
      <c r="F76" s="104" t="s">
        <v>209</v>
      </c>
      <c r="G76" s="104" t="s"/>
      <c r="H76" s="104" t="s"/>
      <c r="I76" s="104" t="s"/>
      <c r="J76" s="108" t="s"/>
      <c r="K76" s="104" t="s"/>
      <c r="L76" s="104" t="s"/>
      <c r="M76" s="109" t="s"/>
      <c r="N76" s="110" t="s"/>
      <c r="O76" s="111" t="s"/>
      <c r="P76" s="112" t="s"/>
      <c r="Q76" s="113" t="s"/>
      <c r="R76" s="113" t="s"/>
      <c r="S76" s="32" t="s"/>
      <c r="T76" s="93" t="s"/>
      <c r="U76" s="93" t="s"/>
      <c r="V76" s="35" t="s"/>
      <c r="W76" s="34" t="s"/>
      <c r="X76" s="114" t="s"/>
      <c r="Y76" s="37" t="s"/>
      <c r="Z76" s="34" t="s"/>
      <c r="AA76" s="36" t="s"/>
      <c r="AB76" s="36" t="s"/>
      <c r="AC76" s="36" t="s"/>
      <c r="AD76" s="36" t="s"/>
    </row>
    <row r="77" spans="1:30" s="751" customFormat="1" ht="20.25" customHeight="1">
      <c r="A77" s="70" t="s">
        <v>210</v>
      </c>
      <c r="B77" s="115" t="s">
        <v>211</v>
      </c>
      <c r="C77" s="41" t="s">
        <v>212</v>
      </c>
      <c r="D77" s="91">
        <v>0.0222</v>
      </c>
      <c r="E77" s="91">
        <v>0.0222</v>
      </c>
      <c r="F77" s="116" t="s">
        <v>33</v>
      </c>
      <c r="G77" s="117" t="s">
        <v>34</v>
      </c>
      <c r="H77" s="118" t="s">
        <v>35</v>
      </c>
      <c r="I77" s="88">
        <v>3000</v>
      </c>
      <c r="J77" s="49">
        <v>30000000</v>
      </c>
      <c r="K77" s="47">
        <v>46274</v>
      </c>
      <c r="L77" s="95">
        <f>NETWORKDAYS(K77,TODAY(),$A$143:$A$148)</f>
        <v>19</v>
      </c>
      <c r="M77" s="119" t="s"/>
      <c r="N77" s="116" t="s">
        <v>36</v>
      </c>
      <c r="O77" s="119" t="s"/>
      <c r="P77" s="40">
        <v>0</v>
      </c>
      <c r="Q77" s="100" t="s">
        <v>213</v>
      </c>
      <c r="R77" s="63">
        <f>E77*I77/365*10000</f>
        <v>1824.65753424658</v>
      </c>
      <c r="S77" s="46">
        <v>0</v>
      </c>
      <c r="T77" s="120" t="s"/>
      <c r="U77" s="55" t="s"/>
      <c r="V77" s="55" t="s"/>
      <c r="W77" s="121" t="s"/>
      <c r="X77" s="55" t="s"/>
      <c r="Y77" s="55" t="s"/>
      <c r="Z77" s="121" t="s"/>
      <c r="AA77" s="121" t="s"/>
      <c r="AB77" s="121" t="s"/>
      <c r="AC77" s="121" t="s"/>
      <c r="AD77" s="121" t="s"/>
    </row>
    <row r="78" spans="1:30" s="751" customFormat="1" ht="20.25" customHeight="1">
      <c r="A78" s="115" t="s">
        <v>214</v>
      </c>
      <c r="B78" s="115" t="s">
        <v>215</v>
      </c>
      <c r="C78" s="41" t="s">
        <v>216</v>
      </c>
      <c r="D78" s="91">
        <v>0.0209</v>
      </c>
      <c r="E78" s="91">
        <v>0.0209</v>
      </c>
      <c r="F78" s="116" t="s">
        <v>33</v>
      </c>
      <c r="G78" s="117" t="s">
        <v>34</v>
      </c>
      <c r="H78" s="118" t="s">
        <v>35</v>
      </c>
      <c r="I78" s="88">
        <v>2000</v>
      </c>
      <c r="J78" s="49">
        <v>20000000</v>
      </c>
      <c r="K78" s="47">
        <v>46280</v>
      </c>
      <c r="L78" s="95">
        <f>NETWORKDAYS(K78,TODAY(),$A$143:$A$148)</f>
        <v>15</v>
      </c>
      <c r="M78" s="119" t="s"/>
      <c r="N78" s="116" t="s">
        <v>36</v>
      </c>
      <c r="O78" s="119" t="s"/>
      <c r="P78" s="40">
        <v>0</v>
      </c>
      <c r="Q78" s="100" t="s">
        <v>213</v>
      </c>
      <c r="R78" s="63">
        <f>E78*I78/365*10000</f>
        <v>1145.20547945206</v>
      </c>
      <c r="S78" s="46">
        <v>0</v>
      </c>
      <c r="T78" s="120" t="s"/>
      <c r="U78" s="55" t="s"/>
      <c r="V78" s="55" t="s"/>
      <c r="W78" s="121" t="s"/>
      <c r="X78" s="55" t="s"/>
      <c r="Y78" s="55" t="s"/>
      <c r="Z78" s="121" t="s"/>
      <c r="AA78" s="121" t="s"/>
      <c r="AB78" s="121" t="s"/>
      <c r="AC78" s="121" t="s"/>
      <c r="AD78" s="121" t="s"/>
    </row>
    <row r="79" spans="1:30" s="751" customFormat="1" ht="20.25" customHeight="1">
      <c r="A79" s="122" t="s">
        <v>217</v>
      </c>
      <c r="B79" s="122" t="s">
        <v>218</v>
      </c>
      <c r="C79" s="41" t="s">
        <v>216</v>
      </c>
      <c r="D79" s="123">
        <v>0.0275</v>
      </c>
      <c r="E79" s="123">
        <v>0.0275</v>
      </c>
      <c r="F79" s="42" t="s">
        <v>43</v>
      </c>
      <c r="G79" s="124" t="s">
        <v>34</v>
      </c>
      <c r="H79" s="44" t="s">
        <v>35</v>
      </c>
      <c r="I79" s="44">
        <v>5000</v>
      </c>
      <c r="J79" s="63">
        <v>50000000</v>
      </c>
      <c r="K79" s="62">
        <v>46280</v>
      </c>
      <c r="L79" s="48">
        <f>NETWORKDAYS(K79,TODAY(),$A$143:$A$148)</f>
        <v>15</v>
      </c>
      <c r="M79" s="125" t="s"/>
      <c r="N79" s="42" t="s">
        <v>36</v>
      </c>
      <c r="O79" s="125" t="s"/>
      <c r="P79" s="59">
        <v>0</v>
      </c>
      <c r="Q79" s="63" t="s">
        <v>213</v>
      </c>
      <c r="R79" s="63">
        <f>E79*I79/365*10000</f>
        <v>3767.12328767123</v>
      </c>
      <c r="S79" s="61">
        <v>0</v>
      </c>
      <c r="T79" s="120" t="s"/>
      <c r="U79" s="56" t="s"/>
      <c r="V79" s="56" t="s"/>
      <c r="W79" s="56" t="s"/>
      <c r="X79" s="56" t="s"/>
      <c r="Y79" s="56" t="s"/>
      <c r="Z79" s="56" t="s"/>
      <c r="AA79" s="56" t="s"/>
      <c r="AB79" s="56" t="s"/>
      <c r="AC79" s="56" t="s"/>
      <c r="AD79" s="56" t="s"/>
    </row>
    <row r="80" spans="1:30" s="751" customFormat="1" ht="20.25" customHeight="1">
      <c r="A80" s="115" t="s">
        <v>158</v>
      </c>
      <c r="B80" s="115" t="s">
        <v>2400</v>
      </c>
      <c r="C80" s="41" t="s">
        <v>219</v>
      </c>
      <c r="D80" s="91">
        <v>0.0192</v>
      </c>
      <c r="E80" s="91">
        <v>0.0192</v>
      </c>
      <c r="F80" s="116" t="s">
        <v>50</v>
      </c>
      <c r="G80" s="117" t="s">
        <v>34</v>
      </c>
      <c r="H80" s="118" t="s">
        <v>35</v>
      </c>
      <c r="I80" s="88">
        <v>5000</v>
      </c>
      <c r="J80" s="49">
        <v>50000000</v>
      </c>
      <c r="K80" s="47">
        <v>46283</v>
      </c>
      <c r="L80" s="95">
        <f>NETWORKDAYS(K80,TODAY(),$A$143:$A$148)</f>
        <v>12</v>
      </c>
      <c r="M80" s="119" t="s"/>
      <c r="N80" s="116" t="s">
        <v>36</v>
      </c>
      <c r="O80" s="119" t="s"/>
      <c r="P80" s="59">
        <v>0</v>
      </c>
      <c r="Q80" s="63" t="s">
        <v>213</v>
      </c>
      <c r="R80" s="63">
        <f>E80*I80/365*10000</f>
        <v>2630.13698630137</v>
      </c>
      <c r="S80" s="46">
        <v>0</v>
      </c>
      <c r="T80" s="120" t="s"/>
      <c r="U80" s="55" t="s"/>
      <c r="V80" s="55" t="s"/>
      <c r="W80" s="121" t="s"/>
      <c r="X80" s="55" t="s"/>
      <c r="Y80" s="55" t="s"/>
      <c r="Z80" s="121" t="s"/>
      <c r="AA80" s="121" t="s"/>
      <c r="AB80" s="121" t="s"/>
      <c r="AC80" s="121" t="s"/>
      <c r="AD80" s="121" t="s"/>
    </row>
    <row r="81" spans="1:30" s="751" customFormat="1" ht="20.25" customHeight="1">
      <c r="A81" s="115" t="s">
        <v>220</v>
      </c>
      <c r="B81" s="115" t="s">
        <v>221</v>
      </c>
      <c r="C81" s="41" t="s">
        <v>222</v>
      </c>
      <c r="D81" s="91">
        <v>0.0211</v>
      </c>
      <c r="E81" s="91">
        <v>0.0211</v>
      </c>
      <c r="F81" s="116" t="s">
        <v>50</v>
      </c>
      <c r="G81" s="117" t="s">
        <v>34</v>
      </c>
      <c r="H81" s="118" t="s">
        <v>35</v>
      </c>
      <c r="I81" s="88">
        <v>3000</v>
      </c>
      <c r="J81" s="49">
        <v>30000000</v>
      </c>
      <c r="K81" s="47">
        <v>46283</v>
      </c>
      <c r="L81" s="95">
        <f>NETWORKDAYS(K81,TODAY(),$A$143:$A$148)</f>
        <v>12</v>
      </c>
      <c r="M81" s="119" t="s"/>
      <c r="N81" s="116" t="s">
        <v>36</v>
      </c>
      <c r="O81" s="119" t="s"/>
      <c r="P81" s="40">
        <v>0</v>
      </c>
      <c r="Q81" s="100" t="s">
        <v>213</v>
      </c>
      <c r="R81" s="63">
        <f>E81*I81/365*10000</f>
        <v>1734.24657534247</v>
      </c>
      <c r="S81" s="46">
        <v>0</v>
      </c>
      <c r="T81" s="120" t="s"/>
      <c r="U81" s="55" t="s"/>
      <c r="V81" s="55" t="s"/>
      <c r="W81" s="121" t="s"/>
      <c r="X81" s="55" t="s"/>
      <c r="Y81" s="55" t="s"/>
      <c r="Z81" s="121" t="s"/>
      <c r="AA81" s="121" t="s"/>
      <c r="AB81" s="121" t="s"/>
      <c r="AC81" s="121" t="s"/>
      <c r="AD81" s="121" t="s"/>
    </row>
    <row r="82" spans="1:30" s="751" customFormat="1" ht="20.25" customHeight="1">
      <c r="A82" s="115" t="s">
        <v>223</v>
      </c>
      <c r="B82" s="115" t="s">
        <v>224</v>
      </c>
      <c r="C82" s="41" t="s">
        <v>225</v>
      </c>
      <c r="D82" s="91">
        <v>0.0263</v>
      </c>
      <c r="E82" s="91">
        <v>0.0263</v>
      </c>
      <c r="F82" s="116" t="s">
        <v>50</v>
      </c>
      <c r="G82" s="117" t="s">
        <v>34</v>
      </c>
      <c r="H82" s="118" t="s">
        <v>35</v>
      </c>
      <c r="I82" s="88">
        <v>2000</v>
      </c>
      <c r="J82" s="49">
        <v>20000000</v>
      </c>
      <c r="K82" s="47">
        <v>46283</v>
      </c>
      <c r="L82" s="95">
        <f>NETWORKDAYS(K82,TODAY(),$A$143:$A$148)</f>
        <v>12</v>
      </c>
      <c r="M82" s="119" t="s"/>
      <c r="N82" s="116" t="s">
        <v>36</v>
      </c>
      <c r="O82" s="119" t="s"/>
      <c r="P82" s="40">
        <v>0</v>
      </c>
      <c r="Q82" s="100" t="s">
        <v>213</v>
      </c>
      <c r="R82" s="63">
        <f>E82*I82/365*10000</f>
        <v>1441.09589041096</v>
      </c>
      <c r="S82" s="46">
        <v>0</v>
      </c>
      <c r="T82" s="120" t="s"/>
      <c r="U82" s="55" t="s"/>
      <c r="V82" s="55" t="s"/>
      <c r="W82" s="121" t="s"/>
      <c r="X82" s="55" t="s"/>
      <c r="Y82" s="55" t="s"/>
      <c r="Z82" s="121" t="s"/>
      <c r="AA82" s="121" t="s"/>
      <c r="AB82" s="121" t="s"/>
      <c r="AC82" s="121" t="s"/>
      <c r="AD82" s="121" t="s"/>
    </row>
    <row r="83" spans="1:30" s="751" customFormat="1" ht="20.25" customHeight="1">
      <c r="A83" s="126" t="s">
        <v>170</v>
      </c>
      <c r="B83" s="126" t="s">
        <v>2401</v>
      </c>
      <c r="C83" s="41" t="s">
        <v>226</v>
      </c>
      <c r="D83" s="91">
        <v>0.0247</v>
      </c>
      <c r="E83" s="91">
        <v>0.024685</v>
      </c>
      <c r="F83" s="116" t="s">
        <v>50</v>
      </c>
      <c r="G83" s="117" t="s">
        <v>34</v>
      </c>
      <c r="H83" s="118" t="s">
        <v>35</v>
      </c>
      <c r="I83" s="88">
        <v>10000</v>
      </c>
      <c r="J83" s="49">
        <v>100000000</v>
      </c>
      <c r="K83" s="47">
        <v>46286</v>
      </c>
      <c r="L83" s="95">
        <f>NETWORKDAYS(K83,TODAY(),$A$143:$A$148)</f>
        <v>11</v>
      </c>
      <c r="M83" s="119" t="s"/>
      <c r="N83" s="116" t="s">
        <v>36</v>
      </c>
      <c r="O83" s="119" t="s"/>
      <c r="P83" s="59">
        <v>0</v>
      </c>
      <c r="Q83" s="63" t="s">
        <v>213</v>
      </c>
      <c r="R83" s="63">
        <f>E83*I83/365*10000</f>
        <v>6763.01369863014</v>
      </c>
      <c r="S83" s="46">
        <v>0</v>
      </c>
      <c r="T83" s="120" t="s"/>
      <c r="U83" s="55" t="s"/>
      <c r="V83" s="55" t="s"/>
      <c r="W83" s="121" t="s"/>
      <c r="X83" s="55" t="s"/>
      <c r="Y83" s="55" t="s"/>
      <c r="Z83" s="121" t="s"/>
      <c r="AA83" s="121" t="s"/>
      <c r="AB83" s="121" t="s"/>
      <c r="AC83" s="121" t="s"/>
      <c r="AD83" s="121" t="s"/>
    </row>
    <row r="84" spans="1:30" s="751" customFormat="1" ht="20.25" customHeight="1">
      <c r="A84" s="126" t="s">
        <v>227</v>
      </c>
      <c r="B84" s="126" t="s">
        <v>2402</v>
      </c>
      <c r="C84" s="41" t="s">
        <v>228</v>
      </c>
      <c r="D84" s="91">
        <v>0.0208</v>
      </c>
      <c r="E84" s="91">
        <v>0.020788</v>
      </c>
      <c r="F84" s="116" t="s">
        <v>33</v>
      </c>
      <c r="G84" s="117" t="s">
        <v>34</v>
      </c>
      <c r="H84" s="118" t="s">
        <v>35</v>
      </c>
      <c r="I84" s="88">
        <v>4000</v>
      </c>
      <c r="J84" s="49">
        <v>40000000</v>
      </c>
      <c r="K84" s="47">
        <v>46286</v>
      </c>
      <c r="L84" s="95">
        <f>NETWORKDAYS(K84,TODAY(),$A$143:$A$148)</f>
        <v>11</v>
      </c>
      <c r="M84" s="119" t="s"/>
      <c r="N84" s="116" t="s">
        <v>36</v>
      </c>
      <c r="O84" s="119" t="s"/>
      <c r="P84" s="40">
        <v>0</v>
      </c>
      <c r="Q84" s="100" t="s">
        <v>213</v>
      </c>
      <c r="R84" s="63">
        <f>E84*I84/365*10000</f>
        <v>2278.13698630137</v>
      </c>
      <c r="S84" s="46">
        <v>0</v>
      </c>
      <c r="T84" s="120" t="s"/>
      <c r="U84" s="55" t="s"/>
      <c r="V84" s="55" t="s"/>
      <c r="W84" s="121" t="s"/>
      <c r="X84" s="55" t="s"/>
      <c r="Y84" s="55" t="s"/>
      <c r="Z84" s="121" t="s"/>
      <c r="AA84" s="121" t="s"/>
      <c r="AB84" s="121" t="s"/>
      <c r="AC84" s="121" t="s"/>
      <c r="AD84" s="121" t="s"/>
    </row>
    <row r="85" spans="1:30" s="751" customFormat="1" ht="20.25" customHeight="1">
      <c r="A85" s="126" t="s">
        <v>229</v>
      </c>
      <c r="B85" s="126" t="s">
        <v>2403</v>
      </c>
      <c r="C85" s="41" t="s">
        <v>228</v>
      </c>
      <c r="D85" s="91">
        <v>0.0194</v>
      </c>
      <c r="E85" s="91">
        <v>0.019389</v>
      </c>
      <c r="F85" s="116" t="s">
        <v>33</v>
      </c>
      <c r="G85" s="117" t="s">
        <v>34</v>
      </c>
      <c r="H85" s="118" t="s">
        <v>35</v>
      </c>
      <c r="I85" s="88">
        <v>3000</v>
      </c>
      <c r="J85" s="49">
        <v>30000000</v>
      </c>
      <c r="K85" s="47">
        <v>46286</v>
      </c>
      <c r="L85" s="95">
        <f>NETWORKDAYS(K85,TODAY(),$A$143:$A$148)</f>
        <v>11</v>
      </c>
      <c r="M85" s="119" t="s"/>
      <c r="N85" s="116" t="s">
        <v>36</v>
      </c>
      <c r="O85" s="119" t="s"/>
      <c r="P85" s="40">
        <v>0</v>
      </c>
      <c r="Q85" s="100" t="s">
        <v>213</v>
      </c>
      <c r="R85" s="63">
        <f>E85*I85/365*10000</f>
        <v>1593.61643835616</v>
      </c>
      <c r="S85" s="46">
        <v>0</v>
      </c>
      <c r="T85" s="120" t="s"/>
      <c r="U85" s="55" t="s"/>
      <c r="V85" s="55" t="s"/>
      <c r="W85" s="121" t="s"/>
      <c r="X85" s="55" t="s"/>
      <c r="Y85" s="55" t="s"/>
      <c r="Z85" s="121" t="s"/>
      <c r="AA85" s="121" t="s"/>
      <c r="AB85" s="121" t="s"/>
      <c r="AC85" s="121" t="s"/>
      <c r="AD85" s="121" t="s"/>
    </row>
    <row r="86" spans="1:30" s="751" customFormat="1" ht="20.25" customHeight="1">
      <c r="A86" s="127" t="s">
        <v>230</v>
      </c>
      <c r="B86" s="127" t="s">
        <v>231</v>
      </c>
      <c r="C86" s="41" t="s">
        <v>228</v>
      </c>
      <c r="D86" s="91">
        <v>0.0209</v>
      </c>
      <c r="E86" s="91">
        <v>0.0209</v>
      </c>
      <c r="F86" s="116" t="s">
        <v>50</v>
      </c>
      <c r="G86" s="117" t="s"/>
      <c r="H86" s="118" t="s">
        <v>35</v>
      </c>
      <c r="I86" s="88">
        <v>2000</v>
      </c>
      <c r="J86" s="49">
        <v>20000000</v>
      </c>
      <c r="K86" s="47">
        <v>46287</v>
      </c>
      <c r="L86" s="95">
        <f>NETWORKDAYS(K86,TODAY(),$A$143:$A$148)</f>
        <v>10</v>
      </c>
      <c r="M86" s="119" t="s"/>
      <c r="N86" s="116" t="s">
        <v>36</v>
      </c>
      <c r="O86" s="119" t="s"/>
      <c r="P86" s="40">
        <v>0</v>
      </c>
      <c r="Q86" s="100" t="s">
        <v>213</v>
      </c>
      <c r="R86" s="63">
        <f>E86*I86/365*10000</f>
        <v>1145.20547945206</v>
      </c>
      <c r="S86" s="46">
        <v>0</v>
      </c>
      <c r="T86" s="120" t="s"/>
      <c r="U86" s="55" t="s"/>
      <c r="V86" s="55" t="s"/>
      <c r="W86" s="121" t="s"/>
      <c r="X86" s="55" t="s"/>
      <c r="Y86" s="55" t="s"/>
      <c r="Z86" s="121" t="s"/>
      <c r="AA86" s="121" t="s"/>
      <c r="AB86" s="121" t="s"/>
      <c r="AC86" s="121" t="s"/>
      <c r="AD86" s="121" t="s"/>
    </row>
    <row r="87" spans="1:30" s="751" customFormat="1" ht="20.25" customHeight="1">
      <c r="A87" s="127" t="s">
        <v>232</v>
      </c>
      <c r="B87" s="127" t="s">
        <v>233</v>
      </c>
      <c r="C87" s="41" t="s">
        <v>228</v>
      </c>
      <c r="D87" s="91">
        <v>0.0189</v>
      </c>
      <c r="E87" s="91">
        <v>0.0189</v>
      </c>
      <c r="F87" s="116" t="s">
        <v>33</v>
      </c>
      <c r="G87" s="117" t="s"/>
      <c r="H87" s="118" t="s">
        <v>35</v>
      </c>
      <c r="I87" s="88">
        <v>2000</v>
      </c>
      <c r="J87" s="49">
        <v>20000000</v>
      </c>
      <c r="K87" s="47">
        <v>46288</v>
      </c>
      <c r="L87" s="95">
        <f>NETWORKDAYS(K87,TODAY(),$A$143:$A$148)</f>
        <v>9</v>
      </c>
      <c r="M87" s="119" t="s"/>
      <c r="N87" s="116" t="s">
        <v>36</v>
      </c>
      <c r="O87" s="119" t="s"/>
      <c r="P87" s="40">
        <v>0</v>
      </c>
      <c r="Q87" s="100" t="s">
        <v>213</v>
      </c>
      <c r="R87" s="63">
        <f>E87*I87/365*10000</f>
        <v>1035.61643835616</v>
      </c>
      <c r="S87" s="46">
        <v>0</v>
      </c>
      <c r="T87" s="120" t="s"/>
      <c r="U87" s="55" t="s"/>
      <c r="V87" s="55" t="s"/>
      <c r="W87" s="121" t="s"/>
      <c r="X87" s="55" t="s"/>
      <c r="Y87" s="55" t="s"/>
      <c r="Z87" s="121" t="s"/>
      <c r="AA87" s="121" t="s"/>
      <c r="AB87" s="121" t="s"/>
      <c r="AC87" s="121" t="s"/>
      <c r="AD87" s="121" t="s"/>
    </row>
    <row r="88" spans="1:30" s="751" customFormat="1" ht="20.25" customHeight="1">
      <c r="A88" s="127" t="s">
        <v>234</v>
      </c>
      <c r="B88" s="127" t="s">
        <v>2404</v>
      </c>
      <c r="C88" s="41" t="s">
        <v>185</v>
      </c>
      <c r="D88" s="91">
        <v>0.02</v>
      </c>
      <c r="E88" s="91">
        <v>0.019988</v>
      </c>
      <c r="F88" s="116" t="s">
        <v>33</v>
      </c>
      <c r="G88" s="117" t="s"/>
      <c r="H88" s="118" t="s">
        <v>35</v>
      </c>
      <c r="I88" s="88">
        <v>5000</v>
      </c>
      <c r="J88" s="49">
        <v>50000000</v>
      </c>
      <c r="K88" s="47">
        <v>46289</v>
      </c>
      <c r="L88" s="95">
        <f>NETWORKDAYS(K88,TODAY(),$A$143:$A$148)</f>
        <v>8</v>
      </c>
      <c r="M88" s="119" t="s"/>
      <c r="N88" s="116" t="s">
        <v>36</v>
      </c>
      <c r="O88" s="119" t="s"/>
      <c r="P88" s="59">
        <v>0</v>
      </c>
      <c r="Q88" s="63" t="s">
        <v>213</v>
      </c>
      <c r="R88" s="63">
        <f>E88*I88/365*10000</f>
        <v>2738.08219178082</v>
      </c>
      <c r="S88" s="46">
        <v>0</v>
      </c>
      <c r="T88" s="120" t="s"/>
      <c r="U88" s="55" t="s"/>
      <c r="V88" s="55" t="s"/>
      <c r="W88" s="121" t="s"/>
      <c r="X88" s="55" t="s"/>
      <c r="Y88" s="55" t="s"/>
      <c r="Z88" s="121" t="s"/>
      <c r="AA88" s="121" t="s"/>
      <c r="AB88" s="121" t="s"/>
      <c r="AC88" s="121" t="s"/>
      <c r="AD88" s="121" t="s"/>
    </row>
    <row r="89" spans="1:30" s="751" customFormat="1" ht="20.25" customHeight="1">
      <c r="A89" s="127" t="s">
        <v>235</v>
      </c>
      <c r="B89" s="127" t="s">
        <v>2405</v>
      </c>
      <c r="C89" s="41" t="s">
        <v>185</v>
      </c>
      <c r="D89" s="91">
        <v>0.0199</v>
      </c>
      <c r="E89" s="91">
        <v>0.019888</v>
      </c>
      <c r="F89" s="116" t="s"/>
      <c r="G89" s="117" t="s"/>
      <c r="H89" s="118" t="s">
        <v>35</v>
      </c>
      <c r="I89" s="88">
        <v>5000</v>
      </c>
      <c r="J89" s="49">
        <v>50000000</v>
      </c>
      <c r="K89" s="47">
        <v>46289</v>
      </c>
      <c r="L89" s="95">
        <f>NETWORKDAYS(K89,TODAY(),$A$143:$A$148)</f>
        <v>8</v>
      </c>
      <c r="M89" s="119" t="s"/>
      <c r="N89" s="116" t="s">
        <v>36</v>
      </c>
      <c r="O89" s="119" t="s"/>
      <c r="P89" s="40">
        <v>0</v>
      </c>
      <c r="Q89" s="100" t="s">
        <v>213</v>
      </c>
      <c r="R89" s="63">
        <f>E89*I89/365*10000</f>
        <v>2724.38356164384</v>
      </c>
      <c r="S89" s="46">
        <v>0</v>
      </c>
      <c r="T89" s="120" t="s"/>
      <c r="U89" s="55" t="s"/>
      <c r="V89" s="55" t="s"/>
      <c r="W89" s="121" t="s"/>
      <c r="X89" s="55" t="s"/>
      <c r="Y89" s="55" t="s"/>
      <c r="Z89" s="121" t="s"/>
      <c r="AA89" s="121" t="s"/>
      <c r="AB89" s="121" t="s"/>
      <c r="AC89" s="121" t="s"/>
      <c r="AD89" s="121" t="s"/>
    </row>
    <row r="90" spans="1:30" s="751" customFormat="1" ht="20.25" customHeight="1">
      <c r="A90" s="127" t="s">
        <v>236</v>
      </c>
      <c r="B90" s="127" t="s">
        <v>2406</v>
      </c>
      <c r="C90" s="41" t="s">
        <v>185</v>
      </c>
      <c r="D90" s="91">
        <v>0.02</v>
      </c>
      <c r="E90" s="91">
        <v>0.019988</v>
      </c>
      <c r="F90" s="116" t="s">
        <v>50</v>
      </c>
      <c r="G90" s="117" t="s"/>
      <c r="H90" s="118" t="s">
        <v>35</v>
      </c>
      <c r="I90" s="88">
        <v>1000</v>
      </c>
      <c r="J90" s="49">
        <v>10000000</v>
      </c>
      <c r="K90" s="47">
        <v>46289</v>
      </c>
      <c r="L90" s="95">
        <f>NETWORKDAYS(K90,TODAY(),$A$143:$A$148)</f>
        <v>8</v>
      </c>
      <c r="M90" s="119" t="s"/>
      <c r="N90" s="116" t="s">
        <v>36</v>
      </c>
      <c r="O90" s="119" t="s"/>
      <c r="P90" s="40">
        <v>0</v>
      </c>
      <c r="Q90" s="100" t="s">
        <v>213</v>
      </c>
      <c r="R90" s="63">
        <f>E90*I90/365*10000</f>
        <v>547.616438356165</v>
      </c>
      <c r="S90" s="46">
        <v>0</v>
      </c>
      <c r="T90" s="120" t="s"/>
      <c r="U90" s="55" t="s"/>
      <c r="V90" s="55" t="s"/>
      <c r="W90" s="121" t="s"/>
      <c r="X90" s="55" t="s"/>
      <c r="Y90" s="55" t="s"/>
      <c r="Z90" s="121" t="s"/>
      <c r="AA90" s="121" t="s"/>
      <c r="AB90" s="121" t="s"/>
      <c r="AC90" s="121" t="s"/>
      <c r="AD90" s="121" t="s"/>
    </row>
    <row r="91" spans="1:30" s="751" customFormat="1" ht="20.25" customHeight="1">
      <c r="A91" s="127" t="s">
        <v>237</v>
      </c>
      <c r="B91" s="127" t="s">
        <v>2407</v>
      </c>
      <c r="C91" s="41" t="s">
        <v>238</v>
      </c>
      <c r="D91" s="91">
        <v>0.019</v>
      </c>
      <c r="E91" s="91">
        <v>0.018989</v>
      </c>
      <c r="F91" s="116" t="s">
        <v>50</v>
      </c>
      <c r="G91" s="117" t="s"/>
      <c r="H91" s="118" t="s">
        <v>35</v>
      </c>
      <c r="I91" s="88">
        <v>2000</v>
      </c>
      <c r="J91" s="49">
        <v>20000000</v>
      </c>
      <c r="K91" s="47">
        <v>46289</v>
      </c>
      <c r="L91" s="95">
        <f>NETWORKDAYS(K91,TODAY(),$A$143:$A$148)</f>
        <v>8</v>
      </c>
      <c r="M91" s="119" t="s"/>
      <c r="N91" s="116" t="s">
        <v>36</v>
      </c>
      <c r="O91" s="119" t="s"/>
      <c r="P91" s="40">
        <v>0</v>
      </c>
      <c r="Q91" s="100" t="s">
        <v>213</v>
      </c>
      <c r="R91" s="63">
        <f>E91*I91/365*10000</f>
        <v>1040.49315068493</v>
      </c>
      <c r="S91" s="46">
        <v>0</v>
      </c>
      <c r="T91" s="120" t="s"/>
      <c r="U91" s="55" t="s"/>
      <c r="V91" s="55" t="s"/>
      <c r="W91" s="121" t="s"/>
      <c r="X91" s="55" t="s"/>
      <c r="Y91" s="55" t="s"/>
      <c r="Z91" s="121" t="s"/>
      <c r="AA91" s="121" t="s"/>
      <c r="AB91" s="121" t="s"/>
      <c r="AC91" s="121" t="s"/>
      <c r="AD91" s="121" t="s"/>
    </row>
    <row r="92" spans="1:30" s="751" customFormat="1" ht="20.25" customHeight="1">
      <c r="A92" s="127" t="s">
        <v>239</v>
      </c>
      <c r="B92" s="127" t="s">
        <v>240</v>
      </c>
      <c r="C92" s="87" t="s">
        <v>241</v>
      </c>
      <c r="D92" s="91">
        <v>0.0255</v>
      </c>
      <c r="E92" s="91">
        <v>0.0255</v>
      </c>
      <c r="F92" s="116" t="s">
        <v>50</v>
      </c>
      <c r="G92" s="117" t="s"/>
      <c r="H92" s="118" t="s">
        <v>35</v>
      </c>
      <c r="I92" s="88">
        <v>5000</v>
      </c>
      <c r="J92" s="49">
        <v>50000000</v>
      </c>
      <c r="K92" s="47">
        <v>46289</v>
      </c>
      <c r="L92" s="95">
        <f>NETWORKDAYS(K92,TODAY(),$A$143:$A$148)</f>
        <v>8</v>
      </c>
      <c r="M92" s="119" t="s"/>
      <c r="N92" s="116" t="s">
        <v>36</v>
      </c>
      <c r="O92" s="119" t="s"/>
      <c r="P92" s="40">
        <v>0</v>
      </c>
      <c r="Q92" s="100" t="s">
        <v>213</v>
      </c>
      <c r="R92" s="63">
        <f>E92*I92/365*10000</f>
        <v>3493.15068493151</v>
      </c>
      <c r="S92" s="46">
        <v>0</v>
      </c>
      <c r="T92" s="120" t="s"/>
      <c r="U92" s="55" t="s"/>
      <c r="V92" s="55" t="s"/>
      <c r="W92" s="121" t="s"/>
      <c r="X92" s="55" t="s"/>
      <c r="Y92" s="55" t="s"/>
      <c r="Z92" s="121" t="s"/>
      <c r="AA92" s="121" t="s"/>
      <c r="AB92" s="121" t="s"/>
      <c r="AC92" s="121" t="s"/>
      <c r="AD92" s="121" t="s"/>
    </row>
    <row r="93" spans="1:30" s="751" customFormat="1" ht="20.25" customHeight="1">
      <c r="A93" s="127" t="s">
        <v>194</v>
      </c>
      <c r="B93" s="127" t="s">
        <v>2395</v>
      </c>
      <c r="C93" s="87" t="s">
        <v>242</v>
      </c>
      <c r="D93" s="91">
        <v>0.0194</v>
      </c>
      <c r="E93" s="91">
        <v>0.0194</v>
      </c>
      <c r="F93" s="116" t="s">
        <v>33</v>
      </c>
      <c r="G93" s="117" t="s"/>
      <c r="H93" s="118" t="s">
        <v>35</v>
      </c>
      <c r="I93" s="88">
        <v>8000</v>
      </c>
      <c r="J93" s="49">
        <v>80000000</v>
      </c>
      <c r="K93" s="47">
        <v>46293</v>
      </c>
      <c r="L93" s="95">
        <f>NETWORKDAYS(K93,TODAY(),$A$143:$A$148)</f>
        <v>7</v>
      </c>
      <c r="M93" s="119" t="s"/>
      <c r="N93" s="116" t="s">
        <v>36</v>
      </c>
      <c r="O93" s="119" t="s"/>
      <c r="P93" s="40">
        <v>0</v>
      </c>
      <c r="Q93" s="100" t="s">
        <v>213</v>
      </c>
      <c r="R93" s="63">
        <f>E93*I93/365*10000</f>
        <v>4252.05479452055</v>
      </c>
      <c r="S93" s="46">
        <v>0</v>
      </c>
      <c r="T93" s="120" t="s"/>
      <c r="U93" s="55" t="s"/>
      <c r="V93" s="55" t="s"/>
      <c r="W93" s="121" t="s"/>
      <c r="X93" s="55" t="s"/>
      <c r="Y93" s="55" t="s"/>
      <c r="Z93" s="121" t="s"/>
      <c r="AA93" s="121" t="s"/>
      <c r="AB93" s="121" t="s"/>
      <c r="AC93" s="121" t="s"/>
      <c r="AD93" s="121" t="s"/>
    </row>
    <row r="94" spans="1:30" s="751" customFormat="1" ht="20.25" customHeight="1">
      <c r="A94" s="127" t="s">
        <v>243</v>
      </c>
      <c r="B94" s="127" t="s">
        <v>2408</v>
      </c>
      <c r="C94" s="87" t="s">
        <v>238</v>
      </c>
      <c r="D94" s="91">
        <v>0.0209</v>
      </c>
      <c r="E94" s="91">
        <v>0.0209</v>
      </c>
      <c r="F94" s="116" t="s">
        <v>50</v>
      </c>
      <c r="G94" s="117" t="s"/>
      <c r="H94" s="118" t="s">
        <v>35</v>
      </c>
      <c r="I94" s="88">
        <v>6000</v>
      </c>
      <c r="J94" s="49">
        <v>60000000</v>
      </c>
      <c r="K94" s="47">
        <v>46294</v>
      </c>
      <c r="L94" s="95">
        <f>NETWORKDAYS(K94,TODAY(),$A$143:$A$148)</f>
        <v>6</v>
      </c>
      <c r="M94" s="119" t="s"/>
      <c r="N94" s="116" t="s">
        <v>36</v>
      </c>
      <c r="O94" s="119" t="s"/>
      <c r="P94" s="40">
        <v>0</v>
      </c>
      <c r="Q94" s="100" t="s">
        <v>213</v>
      </c>
      <c r="R94" s="63">
        <f>E94*I94/365*10000</f>
        <v>3435.61643835617</v>
      </c>
      <c r="S94" s="46">
        <v>0</v>
      </c>
      <c r="T94" s="120" t="s"/>
      <c r="U94" s="55" t="s"/>
      <c r="V94" s="55" t="s"/>
      <c r="W94" s="121" t="s"/>
      <c r="X94" s="55" t="s"/>
      <c r="Y94" s="55" t="s"/>
      <c r="Z94" s="121" t="s"/>
      <c r="AA94" s="121" t="s"/>
      <c r="AB94" s="121" t="s"/>
      <c r="AC94" s="121" t="s"/>
      <c r="AD94" s="121" t="s"/>
    </row>
    <row r="95" spans="1:30" s="751" customFormat="1" ht="20.25" customHeight="1">
      <c r="A95" s="127" t="s">
        <v>244</v>
      </c>
      <c r="B95" s="127" t="s">
        <v>2409</v>
      </c>
      <c r="C95" s="87" t="s">
        <v>245</v>
      </c>
      <c r="D95" s="91">
        <v>0.0186</v>
      </c>
      <c r="E95" s="91">
        <v>0.0186</v>
      </c>
      <c r="F95" s="116" t="s">
        <v>50</v>
      </c>
      <c r="G95" s="117" t="s"/>
      <c r="H95" s="118" t="s">
        <v>35</v>
      </c>
      <c r="I95" s="88">
        <v>2000</v>
      </c>
      <c r="J95" s="49">
        <v>20000000</v>
      </c>
      <c r="K95" s="47">
        <v>46294</v>
      </c>
      <c r="L95" s="95">
        <f>NETWORKDAYS(K95,TODAY(),$A$143:$A$148)</f>
        <v>6</v>
      </c>
      <c r="M95" s="119" t="s"/>
      <c r="N95" s="116" t="s">
        <v>36</v>
      </c>
      <c r="O95" s="119" t="s"/>
      <c r="P95" s="40">
        <v>0</v>
      </c>
      <c r="Q95" s="100" t="s">
        <v>213</v>
      </c>
      <c r="R95" s="63">
        <f>E95*I95/365*10000</f>
        <v>1019.17808219178</v>
      </c>
      <c r="S95" s="46">
        <v>0</v>
      </c>
      <c r="T95" s="120" t="s"/>
      <c r="U95" s="55" t="s"/>
      <c r="V95" s="55" t="s"/>
      <c r="W95" s="121" t="s"/>
      <c r="X95" s="55" t="s"/>
      <c r="Y95" s="55" t="s"/>
      <c r="Z95" s="121" t="s"/>
      <c r="AA95" s="121" t="s"/>
      <c r="AB95" s="121" t="s"/>
      <c r="AC95" s="121" t="s"/>
      <c r="AD95" s="121" t="s"/>
    </row>
    <row r="96" spans="1:30" s="751" customFormat="1" ht="20.25" customHeight="1">
      <c r="A96" s="127" t="s">
        <v>246</v>
      </c>
      <c r="B96" s="127" t="s">
        <v>2410</v>
      </c>
      <c r="C96" s="87" t="s">
        <v>185</v>
      </c>
      <c r="D96" s="91">
        <v>0.02</v>
      </c>
      <c r="E96" s="91">
        <v>0.02</v>
      </c>
      <c r="F96" s="116" t="s">
        <v>43</v>
      </c>
      <c r="G96" s="117" t="s"/>
      <c r="H96" s="118" t="s">
        <v>35</v>
      </c>
      <c r="I96" s="88">
        <v>3000</v>
      </c>
      <c r="J96" s="49">
        <v>30000000</v>
      </c>
      <c r="K96" s="47">
        <v>46294</v>
      </c>
      <c r="L96" s="95">
        <f>NETWORKDAYS(K96,TODAY(),$A$143:$A$148)</f>
        <v>6</v>
      </c>
      <c r="M96" s="119" t="s"/>
      <c r="N96" s="116" t="s">
        <v>36</v>
      </c>
      <c r="O96" s="119" t="s"/>
      <c r="P96" s="40">
        <v>0</v>
      </c>
      <c r="Q96" s="100" t="s">
        <v>213</v>
      </c>
      <c r="R96" s="63">
        <f>E96*I96/365*10000</f>
        <v>1643.83561643836</v>
      </c>
      <c r="S96" s="46">
        <v>0</v>
      </c>
      <c r="T96" s="120" t="s"/>
      <c r="U96" s="55" t="s"/>
      <c r="V96" s="55" t="s"/>
      <c r="W96" s="121" t="s"/>
      <c r="X96" s="55" t="s"/>
      <c r="Y96" s="55" t="s"/>
      <c r="Z96" s="121" t="s"/>
      <c r="AA96" s="121" t="s"/>
      <c r="AB96" s="121" t="s"/>
      <c r="AC96" s="121" t="s"/>
      <c r="AD96" s="121" t="s"/>
    </row>
    <row r="97" spans="1:30" s="751" customFormat="1" ht="20.25" customHeight="1">
      <c r="A97" s="127" t="s">
        <v>247</v>
      </c>
      <c r="B97" s="127" t="s">
        <v>2411</v>
      </c>
      <c r="C97" s="87" t="s">
        <v>185</v>
      </c>
      <c r="D97" s="91">
        <v>0.0204</v>
      </c>
      <c r="E97" s="91">
        <v>0.0204</v>
      </c>
      <c r="F97" s="116" t="s">
        <v>50</v>
      </c>
      <c r="G97" s="117" t="s"/>
      <c r="H97" s="118" t="s">
        <v>35</v>
      </c>
      <c r="I97" s="88">
        <v>1000</v>
      </c>
      <c r="J97" s="49">
        <v>10000000</v>
      </c>
      <c r="K97" s="47">
        <v>46295</v>
      </c>
      <c r="L97" s="95">
        <f>NETWORKDAYS(K97,TODAY(),$A$143:$A$148)</f>
        <v>5</v>
      </c>
      <c r="M97" s="119" t="s"/>
      <c r="N97" s="116" t="s">
        <v>36</v>
      </c>
      <c r="O97" s="119" t="s"/>
      <c r="P97" s="40">
        <v>0</v>
      </c>
      <c r="Q97" s="100" t="s">
        <v>213</v>
      </c>
      <c r="R97" s="63">
        <f>E97*I97/365*10000</f>
        <v>558.904109589041</v>
      </c>
      <c r="S97" s="46">
        <v>0</v>
      </c>
      <c r="T97" s="120" t="s"/>
      <c r="U97" s="55" t="s"/>
      <c r="V97" s="55" t="s"/>
      <c r="W97" s="121" t="s"/>
      <c r="X97" s="55" t="s"/>
      <c r="Y97" s="55" t="s"/>
      <c r="Z97" s="121" t="s"/>
      <c r="AA97" s="121" t="s"/>
      <c r="AB97" s="121" t="s"/>
      <c r="AC97" s="121" t="s"/>
      <c r="AD97" s="121" t="s"/>
    </row>
    <row r="98" spans="1:30" s="751" customFormat="1" ht="20.25" customHeight="1">
      <c r="A98" s="127" t="s">
        <v>248</v>
      </c>
      <c r="B98" s="127" t="s">
        <v>249</v>
      </c>
      <c r="C98" s="87" t="s">
        <v>250</v>
      </c>
      <c r="D98" s="91">
        <v>0.0183</v>
      </c>
      <c r="E98" s="91">
        <v>0.0183</v>
      </c>
      <c r="F98" s="116" t="s">
        <v>50</v>
      </c>
      <c r="G98" s="117" t="s"/>
      <c r="H98" s="118" t="s">
        <v>35</v>
      </c>
      <c r="I98" s="88">
        <v>2000</v>
      </c>
      <c r="J98" s="49">
        <v>20000000</v>
      </c>
      <c r="K98" s="47">
        <v>46295</v>
      </c>
      <c r="L98" s="95">
        <f>NETWORKDAYS(K98,TODAY(),$A$143:$A$148)</f>
        <v>5</v>
      </c>
      <c r="M98" s="128" t="s"/>
      <c r="N98" s="116" t="s">
        <v>36</v>
      </c>
      <c r="O98" s="119" t="s"/>
      <c r="P98" s="40">
        <v>0</v>
      </c>
      <c r="Q98" s="100" t="s">
        <v>213</v>
      </c>
      <c r="R98" s="63">
        <f>E98*I98/365*10000</f>
        <v>1002.7397260274</v>
      </c>
      <c r="S98" s="46">
        <v>0</v>
      </c>
      <c r="T98" s="120" t="s"/>
      <c r="U98" s="55" t="s"/>
      <c r="V98" s="55" t="s"/>
      <c r="W98" s="121" t="s"/>
      <c r="X98" s="55" t="s"/>
      <c r="Y98" s="55" t="s"/>
      <c r="Z98" s="121" t="s"/>
      <c r="AA98" s="121" t="s"/>
      <c r="AB98" s="121" t="s"/>
      <c r="AC98" s="121" t="s"/>
      <c r="AD98" s="121" t="s"/>
    </row>
    <row r="99" spans="1:30" s="751" customFormat="1" ht="20.25" customHeight="1">
      <c r="A99" s="127" t="s">
        <v>251</v>
      </c>
      <c r="B99" s="127" t="s">
        <v>252</v>
      </c>
      <c r="C99" s="87" t="s">
        <v>185</v>
      </c>
      <c r="D99" s="91">
        <v>0.0214</v>
      </c>
      <c r="E99" s="91">
        <v>0.0214</v>
      </c>
      <c r="F99" s="116" t="s">
        <v>33</v>
      </c>
      <c r="G99" s="117" t="s"/>
      <c r="H99" s="118" t="s">
        <v>35</v>
      </c>
      <c r="I99" s="88">
        <v>2000</v>
      </c>
      <c r="J99" s="49">
        <v>20000000</v>
      </c>
      <c r="K99" s="47">
        <v>46304</v>
      </c>
      <c r="L99" s="95">
        <f>NETWORKDAYS(K99,TODAY(),$A$143:$A$148)</f>
        <v>3</v>
      </c>
      <c r="M99" s="128" t="s"/>
      <c r="N99" s="116" t="s">
        <v>36</v>
      </c>
      <c r="O99" s="119" t="s"/>
      <c r="P99" s="40">
        <v>0</v>
      </c>
      <c r="Q99" s="100" t="s">
        <v>213</v>
      </c>
      <c r="R99" s="63">
        <f>E99*I99/365*10000</f>
        <v>1172.60273972603</v>
      </c>
      <c r="S99" s="46">
        <v>0</v>
      </c>
      <c r="T99" s="120" t="s"/>
      <c r="U99" s="55" t="s"/>
      <c r="V99" s="55" t="s"/>
      <c r="W99" s="121" t="s"/>
      <c r="X99" s="55" t="s"/>
      <c r="Y99" s="55" t="s"/>
      <c r="Z99" s="121" t="s"/>
      <c r="AA99" s="121" t="s"/>
      <c r="AB99" s="121" t="s"/>
      <c r="AC99" s="121" t="s"/>
      <c r="AD99" s="121" t="s"/>
    </row>
    <row r="100" spans="1:30" s="751" customFormat="1" ht="20.25" customHeight="1">
      <c r="A100" s="98" t="s">
        <v>253</v>
      </c>
      <c r="B100" s="98" t="s">
        <v>254</v>
      </c>
      <c r="C100" s="87" t="s">
        <v>238</v>
      </c>
      <c r="D100" s="91">
        <v>0.0184</v>
      </c>
      <c r="E100" s="91">
        <v>0.0184</v>
      </c>
      <c r="F100" s="116" t="s">
        <v>33</v>
      </c>
      <c r="G100" s="117" t="s"/>
      <c r="H100" s="118" t="s">
        <v>35</v>
      </c>
      <c r="I100" s="88">
        <v>1000</v>
      </c>
      <c r="J100" s="49">
        <v>10000000</v>
      </c>
      <c r="K100" s="47">
        <v>46304</v>
      </c>
      <c r="L100" s="95">
        <f>NETWORKDAYS(K100,TODAY(),$A$143:$A$148)</f>
        <v>3</v>
      </c>
      <c r="M100" s="128" t="s"/>
      <c r="N100" s="116" t="s">
        <v>36</v>
      </c>
      <c r="O100" s="119" t="s"/>
      <c r="P100" s="40">
        <v>0</v>
      </c>
      <c r="Q100" s="100" t="s">
        <v>213</v>
      </c>
      <c r="R100" s="63">
        <f>E100*I100/365*10000</f>
        <v>504.109589041096</v>
      </c>
      <c r="S100" s="46">
        <v>0</v>
      </c>
      <c r="T100" s="120" t="s"/>
      <c r="U100" s="55" t="s"/>
      <c r="V100" s="55" t="s"/>
      <c r="W100" s="121" t="s"/>
      <c r="X100" s="55" t="s"/>
      <c r="Y100" s="55" t="s"/>
      <c r="Z100" s="121" t="s"/>
      <c r="AA100" s="121" t="s"/>
      <c r="AB100" s="121" t="s"/>
      <c r="AC100" s="121" t="s"/>
      <c r="AD100" s="121" t="s"/>
    </row>
    <row r="101" spans="1:30" s="751" customFormat="1" ht="20.25" customHeight="1">
      <c r="A101" s="129" t="s"/>
      <c r="B101" s="104" t="s"/>
      <c r="C101" s="104" t="s"/>
      <c r="D101" s="104" t="s"/>
      <c r="E101" s="107" t="s"/>
      <c r="F101" s="130" t="s"/>
      <c r="G101" s="131" t="s"/>
      <c r="H101" s="131">
        <f>SUM(I:I)</f>
        <v>286900</v>
      </c>
      <c r="I101" s="132" t="s">
        <v>255</v>
      </c>
      <c r="J101" s="130" t="s">
        <v>256</v>
      </c>
      <c r="K101" s="133">
        <f>SUM(J:J)</f>
        <v>2913972728.85333</v>
      </c>
      <c r="L101" s="134" t="s"/>
      <c r="M101" s="134" t="s"/>
      <c r="N101" s="130" t="s"/>
      <c r="O101" s="135" t="s"/>
      <c r="P101" s="136" t="s"/>
      <c r="Q101" s="132" t="s">
        <v>255</v>
      </c>
      <c r="R101" s="132" t="s">
        <v>257</v>
      </c>
      <c r="S101" s="137">
        <f>SUM(R:R)</f>
        <v>172750.459589041</v>
      </c>
      <c r="T101" s="35" t="s"/>
      <c r="U101" s="35" t="s"/>
      <c r="V101" s="114" t="s"/>
      <c r="W101" s="138" t="s"/>
      <c r="X101" s="114" t="s"/>
      <c r="Y101" s="37" t="s"/>
      <c r="Z101" s="34" t="s"/>
      <c r="AA101" s="36" t="s"/>
      <c r="AB101" s="36" t="s"/>
      <c r="AC101" s="38" t="s"/>
      <c r="AD101" s="38" t="s"/>
    </row>
    <row r="102" spans="1:30" s="751" customFormat="1" ht="20.25" customHeight="1">
      <c r="A102" s="139" t="s"/>
      <c r="B102" s="140" t="s"/>
      <c r="C102" s="141" t="s"/>
      <c r="D102" s="142" t="s"/>
      <c r="E102" s="143" t="s"/>
      <c r="F102" s="144" t="s"/>
      <c r="G102" s="144" t="s"/>
      <c r="H102" s="144" t="s"/>
      <c r="I102" s="145" t="s"/>
      <c r="J102" s="146" t="s"/>
      <c r="K102" s="147">
        <v>300000000</v>
      </c>
      <c r="L102" s="148" t="s"/>
      <c r="M102" s="149" t="s"/>
      <c r="N102" s="150" t="s"/>
      <c r="O102" s="151" t="s"/>
      <c r="P102" s="152" t="s"/>
      <c r="Q102" s="153" t="s"/>
      <c r="R102" s="154" t="s"/>
      <c r="S102" s="155" t="s"/>
      <c r="T102" s="35" t="s"/>
      <c r="U102" s="35" t="s"/>
      <c r="V102" s="114" t="s"/>
      <c r="W102" s="138" t="s"/>
      <c r="X102" s="114" t="s"/>
      <c r="Y102" s="37" t="s"/>
      <c r="Z102" s="34" t="s"/>
      <c r="AA102" s="36" t="s"/>
      <c r="AB102" s="36" t="s"/>
      <c r="AC102" s="38" t="s"/>
      <c r="AD102" s="38" t="s"/>
    </row>
    <row r="103" spans="1:30" s="751" customFormat="1" ht="20.25" customHeight="1">
      <c r="A103" s="156" t="s"/>
      <c r="B103" s="140" t="s"/>
      <c r="C103" s="141" t="s"/>
      <c r="D103" s="142" t="s"/>
      <c r="E103" s="143" t="s"/>
      <c r="F103" s="144" t="s"/>
      <c r="G103" s="144" t="s"/>
      <c r="H103" s="144" t="s"/>
      <c r="I103" s="145" t="s"/>
      <c r="J103" s="146" t="s"/>
      <c r="K103" s="147">
        <v>200000000</v>
      </c>
      <c r="L103" s="148" t="s"/>
      <c r="M103" s="149" t="s"/>
      <c r="N103" s="150" t="s"/>
      <c r="O103" s="151" t="s"/>
      <c r="P103" s="152" t="s"/>
      <c r="Q103" s="157" t="s"/>
      <c r="R103" s="154" t="s"/>
      <c r="S103" s="155" t="s"/>
      <c r="T103" s="35" t="s"/>
      <c r="U103" s="35" t="s"/>
      <c r="V103" s="114" t="s"/>
      <c r="W103" s="138" t="s"/>
      <c r="X103" s="114" t="s"/>
      <c r="Y103" s="37" t="s"/>
      <c r="Z103" s="34" t="s"/>
      <c r="AA103" s="36" t="s"/>
      <c r="AB103" s="36" t="s"/>
      <c r="AC103" s="38" t="s"/>
      <c r="AD103" s="38" t="s"/>
    </row>
    <row r="104" spans="1:30" s="751" customFormat="1" ht="20.25" customHeight="1">
      <c r="A104" s="129" t="s"/>
      <c r="B104" s="104" t="s"/>
      <c r="C104" s="136" t="s"/>
      <c r="D104" s="136" t="s"/>
      <c r="E104" s="107" t="s"/>
      <c r="F104" s="130" t="s"/>
      <c r="G104" s="130" t="s"/>
      <c r="H104" s="130" t="s"/>
      <c r="I104" s="136" t="s"/>
      <c r="J104" s="130" t="s">
        <v>258</v>
      </c>
      <c r="K104" s="158">
        <f>SUM(K102:K103)</f>
        <v>500000000</v>
      </c>
      <c r="L104" s="159" t="s">
        <v>259</v>
      </c>
      <c r="M104" s="160" t="s"/>
      <c r="N104" s="130" t="s"/>
      <c r="O104" s="135" t="s"/>
      <c r="P104" s="104" t="s"/>
      <c r="Q104" s="109" t="s"/>
      <c r="R104" s="129" t="s"/>
      <c r="S104" s="161" t="s"/>
      <c r="T104" s="35" t="s"/>
      <c r="U104" s="35" t="s"/>
      <c r="V104" s="114" t="s"/>
      <c r="W104" s="138" t="s"/>
      <c r="X104" s="114" t="s"/>
      <c r="Y104" s="37" t="s"/>
      <c r="Z104" s="34" t="s"/>
      <c r="AA104" s="36" t="s"/>
      <c r="AB104" s="36" t="s"/>
      <c r="AC104" s="38" t="s"/>
      <c r="AD104" s="38" t="s"/>
    </row>
    <row r="105" spans="1:30" s="751" customFormat="1" ht="20.25" customHeight="1">
      <c r="A105" s="140" t="s"/>
      <c r="B105" s="140" t="s"/>
      <c r="C105" s="162" t="s"/>
      <c r="D105" s="163" t="s"/>
      <c r="E105" s="164" t="s"/>
      <c r="F105" s="165" t="s">
        <v>260</v>
      </c>
      <c r="G105" s="166" t="s"/>
      <c r="H105" s="166" t="s"/>
      <c r="I105" s="167" t="s"/>
      <c r="J105" s="166" t="s"/>
      <c r="K105" s="168" t="s"/>
      <c r="L105" s="93" t="s"/>
      <c r="M105" s="169" t="s"/>
      <c r="N105" s="170" t="s"/>
      <c r="O105" s="171" t="s"/>
      <c r="P105" s="172" t="s"/>
      <c r="Q105" s="173" t="s"/>
      <c r="R105" s="172" t="s"/>
      <c r="S105" s="174" t="s"/>
      <c r="T105" s="35" t="s"/>
      <c r="U105" s="35" t="s"/>
      <c r="V105" s="35" t="s"/>
      <c r="W105" s="34" t="s"/>
      <c r="X105" s="114" t="s"/>
      <c r="Y105" s="37" t="s"/>
      <c r="Z105" s="34" t="s"/>
      <c r="AA105" s="36" t="s"/>
      <c r="AB105" s="36" t="s"/>
      <c r="AC105" s="38" t="s"/>
      <c r="AD105" s="38" t="s"/>
    </row>
    <row r="106" spans="1:30" s="751" customFormat="1" ht="20.25" customHeight="1">
      <c r="A106" s="104" t="s"/>
      <c r="B106" s="175" t="s"/>
      <c r="C106" s="136" t="s"/>
      <c r="D106" s="136" t="s"/>
      <c r="E106" s="176" t="s"/>
      <c r="F106" s="109" t="s"/>
      <c r="G106" s="177" t="s"/>
      <c r="H106" s="177" t="s"/>
      <c r="I106" s="109" t="s"/>
      <c r="J106" s="109" t="s">
        <v>261</v>
      </c>
      <c r="K106" s="158">
        <f>K101-K104</f>
        <v>2413972728.85333</v>
      </c>
      <c r="L106" s="178" t="s"/>
      <c r="M106" s="179" t="s">
        <v>262</v>
      </c>
      <c r="N106" s="109" t="s"/>
      <c r="O106" s="135" t="s"/>
      <c r="P106" s="136" t="s"/>
      <c r="Q106" s="180" t="s"/>
      <c r="R106" s="181" t="s"/>
      <c r="S106" s="182" t="s"/>
      <c r="T106" s="35" t="s"/>
      <c r="U106" s="35" t="s"/>
      <c r="V106" s="35" t="s"/>
      <c r="W106" s="34" t="s"/>
      <c r="X106" s="114" t="s"/>
      <c r="Y106" s="37" t="s"/>
      <c r="Z106" s="34" t="s"/>
      <c r="AA106" s="36" t="s"/>
      <c r="AB106" s="36" t="s"/>
      <c r="AC106" s="38" t="s"/>
      <c r="AD106" s="38" t="s"/>
    </row>
    <row r="107" spans="1:30" s="751" customFormat="1" ht="20.25" customHeight="1">
      <c r="A107" s="183" t="s"/>
      <c r="B107" s="184" t="s"/>
      <c r="C107" s="185" t="s"/>
      <c r="D107" s="147" t="s"/>
      <c r="E107" s="186" t="s"/>
      <c r="F107" s="187" t="s"/>
      <c r="G107" s="188" t="s"/>
      <c r="H107" s="188" t="s"/>
      <c r="I107" s="189" t="s"/>
      <c r="J107" s="190" t="s"/>
      <c r="K107" s="191" t="s"/>
      <c r="L107" s="192" t="s"/>
      <c r="M107" s="193" t="s"/>
      <c r="N107" s="187" t="s"/>
      <c r="O107" s="194" t="s"/>
      <c r="P107" s="195" t="s"/>
      <c r="Q107" s="196" t="s"/>
      <c r="R107" s="147" t="s"/>
      <c r="S107" s="197" t="s"/>
      <c r="T107" s="55" t="s"/>
      <c r="U107" s="55" t="s"/>
      <c r="V107" s="55" t="s"/>
      <c r="W107" s="121" t="s"/>
      <c r="X107" s="114" t="s"/>
      <c r="Y107" s="198" t="s"/>
      <c r="Z107" s="121" t="s"/>
      <c r="AA107" s="121" t="s"/>
      <c r="AB107" s="121" t="s"/>
      <c r="AC107" s="121" t="s"/>
      <c r="AD107" s="121" t="s"/>
    </row>
    <row r="108" spans="1:30" s="751" customFormat="1" ht="20.25" customHeight="1">
      <c r="A108" s="153" t="s"/>
      <c r="B108" s="153" t="s"/>
      <c r="C108" s="199" t="s"/>
      <c r="D108" s="153" t="s"/>
      <c r="E108" s="200" t="s"/>
      <c r="F108" s="153" t="s"/>
      <c r="G108" s="153" t="s"/>
      <c r="H108" s="153" t="s"/>
      <c r="I108" s="153" t="s"/>
      <c r="J108" s="153" t="s"/>
      <c r="K108" s="153" t="s"/>
      <c r="L108" s="201" t="s"/>
      <c r="M108" s="202" t="s"/>
      <c r="N108" s="153" t="s"/>
      <c r="O108" s="203" t="s"/>
      <c r="P108" s="153" t="s"/>
      <c r="Q108" s="153" t="s"/>
      <c r="R108" s="153" t="s"/>
      <c r="S108" s="204" t="s"/>
      <c r="T108" s="35" t="s"/>
      <c r="U108" s="35" t="s"/>
      <c r="V108" s="35" t="s"/>
      <c r="W108" s="34" t="s"/>
      <c r="X108" s="114" t="s"/>
      <c r="Y108" s="37" t="s"/>
      <c r="Z108" s="34" t="s"/>
      <c r="AA108" s="36" t="s"/>
      <c r="AB108" s="36" t="s"/>
      <c r="AC108" s="38" t="s"/>
      <c r="AD108" s="38" t="s"/>
    </row>
    <row r="109" spans="1:30" s="751" customFormat="1" ht="20.25" customHeight="1">
      <c r="A109" s="205" t="s">
        <v>213</v>
      </c>
      <c r="B109" s="206" t="s"/>
      <c r="C109" s="207" t="s"/>
      <c r="D109" s="208" t="s"/>
      <c r="E109" s="206" t="s"/>
      <c r="F109" s="206" t="s"/>
      <c r="G109" s="209" t="s"/>
      <c r="H109" s="206" t="s"/>
      <c r="I109" s="206" t="s"/>
      <c r="J109" s="208" t="s"/>
      <c r="K109" s="208" t="s"/>
      <c r="L109" s="210" t="s"/>
      <c r="M109" s="211" t="s"/>
      <c r="N109" s="208" t="s"/>
      <c r="O109" s="212" t="s"/>
      <c r="P109" s="211" t="s"/>
      <c r="Q109" s="208" t="s"/>
      <c r="R109" s="213" t="s"/>
      <c r="S109" s="214" t="s"/>
      <c r="T109" s="35" t="s"/>
      <c r="U109" s="35" t="s"/>
      <c r="V109" s="35" t="s"/>
      <c r="W109" s="34" t="s"/>
      <c r="X109" s="114" t="s"/>
      <c r="Y109" s="37" t="s"/>
      <c r="Z109" s="34" t="s"/>
      <c r="AA109" s="36" t="s"/>
      <c r="AB109" s="36" t="s"/>
      <c r="AC109" s="36" t="s"/>
      <c r="AD109" s="36" t="s"/>
    </row>
    <row r="110" spans="1:30" s="751" customFormat="1" ht="20.25" customHeight="1">
      <c r="A110" s="215" t="s"/>
      <c r="B110" s="208" t="s"/>
      <c r="C110" s="207" t="s"/>
      <c r="D110" s="206" t="s"/>
      <c r="E110" s="208" t="s"/>
      <c r="F110" s="208" t="s"/>
      <c r="G110" s="212" t="s"/>
      <c r="H110" s="208" t="s"/>
      <c r="I110" s="208" t="s"/>
      <c r="J110" s="208" t="s"/>
      <c r="K110" s="208" t="s"/>
      <c r="L110" s="210" t="s"/>
      <c r="M110" s="211" t="s"/>
      <c r="N110" s="208" t="s"/>
      <c r="O110" s="212" t="s"/>
      <c r="P110" s="211" t="s"/>
      <c r="Q110" s="208" t="s"/>
      <c r="R110" s="216" t="s"/>
      <c r="S110" s="217" t="s"/>
      <c r="T110" s="35" t="s"/>
      <c r="U110" s="35" t="s"/>
      <c r="V110" s="35" t="s"/>
      <c r="W110" s="34" t="s"/>
      <c r="X110" s="114" t="s"/>
      <c r="Y110" s="37" t="s"/>
      <c r="Z110" s="34" t="s"/>
      <c r="AA110" s="36" t="s"/>
      <c r="AB110" s="36" t="s"/>
      <c r="AC110" s="36" t="s"/>
      <c r="AD110" s="36" t="s"/>
    </row>
    <row r="111" spans="1:30" s="752" customFormat="1" ht="20.25" customHeight="1">
      <c r="A111" s="218" t="s"/>
      <c r="B111" s="210" t="s"/>
      <c r="C111" s="207" t="s"/>
      <c r="D111" s="219" t="s"/>
      <c r="E111" s="220" t="s"/>
      <c r="F111" s="210" t="s"/>
      <c r="G111" s="221" t="s"/>
      <c r="H111" s="210" t="s"/>
      <c r="I111" s="210" t="s"/>
      <c r="J111" s="210" t="s"/>
      <c r="K111" s="210" t="s"/>
      <c r="L111" s="210" t="s"/>
      <c r="M111" s="222" t="s"/>
      <c r="N111" s="223" t="s"/>
      <c r="O111" s="212" t="s"/>
      <c r="P111" s="222" t="s"/>
      <c r="Q111" s="218" t="s"/>
      <c r="R111" s="217" t="s"/>
      <c r="S111" s="217" t="s"/>
      <c r="T111" s="224" t="s"/>
      <c r="U111" s="224" t="s"/>
      <c r="V111" s="225" t="s"/>
      <c r="W111" s="224" t="s"/>
      <c r="X111" s="224" t="s"/>
      <c r="Y111" s="224" t="s"/>
      <c r="Z111" s="224" t="s"/>
      <c r="AA111" s="226" t="s"/>
      <c r="AB111" s="227" t="s"/>
      <c r="AC111" s="227" t="s"/>
      <c r="AD111" s="227" t="s"/>
    </row>
    <row r="112" spans="1:30" s="752" customFormat="1" ht="21" customHeight="1">
      <c r="A112" s="228" t="s">
        <v>263</v>
      </c>
      <c r="B112" s="229" t="s"/>
      <c r="C112" s="230" t="s"/>
      <c r="D112" s="231" t="s"/>
      <c r="E112" s="232" t="s"/>
      <c r="F112" s="233" t="s"/>
      <c r="G112" s="233" t="s"/>
      <c r="H112" s="233" t="s"/>
      <c r="I112" s="229" t="s"/>
      <c r="J112" s="234" t="s"/>
      <c r="K112" s="234" t="s"/>
      <c r="L112" s="235" t="s"/>
      <c r="M112" s="235" t="s"/>
      <c r="N112" s="227" t="s"/>
      <c r="O112" s="236" t="s"/>
      <c r="P112" s="237" t="s"/>
      <c r="Q112" s="238" t="s"/>
      <c r="R112" s="214" t="s"/>
      <c r="S112" s="214" t="s"/>
      <c r="T112" s="224" t="s"/>
      <c r="U112" s="224" t="s"/>
      <c r="V112" s="224" t="s"/>
      <c r="W112" s="224" t="s"/>
      <c r="X112" s="224" t="s"/>
      <c r="Y112" s="224" t="s"/>
      <c r="Z112" s="224" t="s"/>
      <c r="AA112" s="226" t="s"/>
      <c r="AB112" s="227" t="s"/>
      <c r="AC112" s="227" t="s"/>
      <c r="AD112" s="227" t="s"/>
    </row>
    <row r="113" spans="1:30" s="752" customFormat="1" ht="21" customHeight="1">
      <c r="A113" s="55" t="s"/>
      <c r="B113" s="55" t="s"/>
      <c r="C113" s="239" t="s"/>
      <c r="D113" s="240" t="s"/>
      <c r="E113" s="241" t="s"/>
      <c r="F113" s="55" t="s"/>
      <c r="G113" s="242" t="s"/>
      <c r="H113" s="242" t="s"/>
      <c r="I113" s="55" t="s"/>
      <c r="J113" s="243" t="s"/>
      <c r="K113" s="244" t="s"/>
      <c r="L113" s="245" t="s"/>
      <c r="M113" s="245" t="s"/>
      <c r="N113" s="227" t="s"/>
      <c r="O113" s="246" t="s"/>
      <c r="P113" s="247" t="s"/>
      <c r="Q113" s="238" t="s"/>
      <c r="R113" s="214" t="s"/>
      <c r="S113" s="214" t="s"/>
      <c r="T113" s="224" t="s"/>
      <c r="U113" s="224" t="s"/>
      <c r="V113" s="224" t="s"/>
      <c r="W113" s="224" t="s"/>
      <c r="X113" s="224" t="s"/>
      <c r="Y113" s="224" t="s"/>
      <c r="Z113" s="224" t="s"/>
      <c r="AA113" s="226" t="s"/>
      <c r="AB113" s="227" t="s"/>
      <c r="AC113" s="227" t="s"/>
      <c r="AD113" s="227" t="s"/>
    </row>
    <row r="114" spans="1:30" s="752" customFormat="1" ht="21" customHeight="1">
      <c r="A114" s="248" t="s">
        <v>264</v>
      </c>
      <c r="B114" s="248" t="s"/>
      <c r="C114" s="249" t="s"/>
      <c r="D114" s="250" t="s"/>
      <c r="E114" s="251" t="s"/>
      <c r="F114" s="252" t="s"/>
      <c r="G114" s="252" t="s"/>
      <c r="H114" s="252" t="s"/>
      <c r="I114" s="253" t="s"/>
      <c r="J114" s="254" t="s"/>
      <c r="K114" s="255" t="s"/>
      <c r="L114" s="235" t="s"/>
      <c r="M114" s="55" t="s"/>
      <c r="N114" s="256" t="s"/>
      <c r="O114" s="257" t="s"/>
      <c r="P114" s="238" t="s"/>
      <c r="Q114" s="217" t="s"/>
      <c r="R114" s="238" t="s"/>
      <c r="S114" s="238" t="s"/>
      <c r="T114" s="224" t="s"/>
      <c r="U114" s="224" t="s"/>
      <c r="V114" s="224" t="s"/>
      <c r="W114" s="224" t="s"/>
      <c r="X114" s="224" t="s"/>
      <c r="Y114" s="224" t="s"/>
      <c r="Z114" s="96" t="s"/>
      <c r="AA114" s="227" t="s"/>
      <c r="AB114" s="227" t="s"/>
      <c r="AC114" s="227" t="s"/>
      <c r="AD114" s="103" t="s"/>
    </row>
    <row r="115" spans="1:30" s="752" customFormat="1" ht="18" customHeight="1">
      <c r="A115" s="252" t="s">
        <v>265</v>
      </c>
      <c r="B115" s="252" t="s">
        <v>265</v>
      </c>
      <c r="C115" s="258" t="s"/>
      <c r="D115" s="259" t="s">
        <v>266</v>
      </c>
      <c r="E115" s="260" t="s">
        <v>267</v>
      </c>
      <c r="F115" s="252" t="s">
        <v>268</v>
      </c>
      <c r="G115" s="252" t="s"/>
      <c r="H115" s="252" t="s">
        <v>269</v>
      </c>
      <c r="I115" s="261" t="s"/>
      <c r="J115" s="254" t="s"/>
      <c r="K115" s="255" t="s"/>
      <c r="L115" s="245" t="s"/>
      <c r="M115" s="227" t="s"/>
      <c r="N115" s="262" t="s"/>
      <c r="O115" s="257" t="s"/>
      <c r="P115" s="238" t="s"/>
      <c r="Q115" s="217" t="s"/>
      <c r="R115" s="238" t="s"/>
      <c r="S115" s="238" t="s"/>
      <c r="T115" s="224" t="s"/>
      <c r="U115" s="263" t="s"/>
      <c r="V115" s="263" t="s"/>
      <c r="W115" s="263" t="s"/>
      <c r="X115" s="263" t="s"/>
      <c r="Y115" s="263" t="s"/>
      <c r="Z115" s="264" t="s"/>
      <c r="AA115" s="265" t="s"/>
      <c r="AB115" s="227" t="s"/>
      <c r="AC115" s="227" t="s"/>
      <c r="AD115" s="103" t="s"/>
    </row>
    <row r="116" spans="1:30" s="752" customFormat="1" ht="18" customHeight="1">
      <c r="A116" s="266">
        <v>45908</v>
      </c>
      <c r="B116" s="267" t="s">
        <v>270</v>
      </c>
      <c r="C116" s="268" t="s"/>
      <c r="D116" s="269" t="s"/>
      <c r="E116" s="270" t="s"/>
      <c r="F116" s="271" t="s"/>
      <c r="G116" s="272" t="s"/>
      <c r="H116" s="272">
        <f>D116+E116+F116</f>
        <v>0</v>
      </c>
      <c r="I116" s="273" t="s"/>
      <c r="J116" s="274" t="s"/>
      <c r="K116" s="275" t="s"/>
      <c r="L116" s="276" t="s"/>
      <c r="M116" s="277" t="s"/>
      <c r="N116" s="278" t="s"/>
      <c r="O116" s="279" t="s"/>
      <c r="P116" s="280" t="s"/>
      <c r="Q116" s="281" t="s"/>
      <c r="R116" s="280" t="s"/>
      <c r="S116" s="280" t="s"/>
      <c r="T116" s="263" t="s"/>
      <c r="U116" s="263" t="s"/>
      <c r="V116" s="263" t="s"/>
      <c r="W116" s="263" t="s"/>
      <c r="X116" s="263" t="s"/>
      <c r="Y116" s="263" t="s"/>
      <c r="Z116" s="282" t="s"/>
      <c r="AA116" s="265" t="s"/>
      <c r="AB116" s="227" t="s"/>
      <c r="AC116" s="227" t="s"/>
      <c r="AD116" s="103" t="s"/>
    </row>
    <row r="117" spans="1:30" s="752" customFormat="1" ht="18" customHeight="1">
      <c r="A117" s="283">
        <v>45909</v>
      </c>
      <c r="B117" s="284" t="s">
        <v>271</v>
      </c>
      <c r="C117" s="285" t="s"/>
      <c r="D117" s="286" t="s"/>
      <c r="E117" s="287" t="s"/>
      <c r="F117" s="286" t="s"/>
      <c r="G117" s="288" t="s"/>
      <c r="H117" s="288">
        <f>D117+E117+F117</f>
        <v>0</v>
      </c>
      <c r="I117" s="261" t="s"/>
      <c r="J117" s="289" t="s"/>
      <c r="K117" s="290" t="s"/>
      <c r="L117" s="290" t="s"/>
      <c r="M117" s="289" t="s"/>
      <c r="N117" s="262" t="s"/>
      <c r="O117" s="257" t="s"/>
      <c r="P117" s="238" t="s"/>
      <c r="Q117" s="217" t="s"/>
      <c r="R117" s="224" t="s"/>
      <c r="S117" s="224" t="s"/>
      <c r="T117" s="224" t="s"/>
      <c r="U117" s="263" t="s"/>
      <c r="V117" s="263" t="s"/>
      <c r="W117" s="263" t="s"/>
      <c r="X117" s="263" t="s"/>
      <c r="Y117" s="263" t="s"/>
      <c r="Z117" s="282" t="s"/>
      <c r="AA117" s="265" t="s"/>
      <c r="AB117" s="227" t="s"/>
      <c r="AC117" s="227" t="s"/>
      <c r="AD117" s="103" t="s"/>
    </row>
    <row r="118" spans="1:30" s="753" customFormat="1">
      <c r="A118" s="291">
        <v>45910</v>
      </c>
      <c r="B118" s="289" t="s">
        <v>272</v>
      </c>
      <c r="C118" s="292" t="s"/>
      <c r="D118" s="293" t="s"/>
      <c r="E118" s="294" t="s"/>
      <c r="F118" s="293" t="s"/>
      <c r="G118" s="295" t="s"/>
      <c r="H118" s="295">
        <f>D118+E118+F118</f>
        <v>0</v>
      </c>
      <c r="I118" s="261" t="s"/>
      <c r="J118" s="227" t="s"/>
      <c r="K118" s="296" t="s"/>
      <c r="L118" s="245" t="s"/>
      <c r="M118" s="227" t="s"/>
      <c r="N118" s="297" t="s"/>
      <c r="O118" s="298" t="s"/>
      <c r="P118" s="299" t="s"/>
      <c r="Q118" s="214" t="s"/>
      <c r="R118" s="224" t="s"/>
      <c r="S118" s="224" t="s"/>
      <c r="T118" s="224" t="s"/>
      <c r="U118" s="224" t="s"/>
      <c r="V118" s="224" t="s"/>
      <c r="W118" s="224" t="s"/>
      <c r="X118" s="224" t="s"/>
      <c r="Y118" s="224" t="s"/>
      <c r="Z118" s="55" t="s"/>
      <c r="AA118" s="227" t="s"/>
      <c r="AB118" s="227" t="s"/>
      <c r="AC118" s="227" t="s"/>
      <c r="AD118" s="103" t="s"/>
    </row>
    <row r="119" spans="1:30" s="753" customFormat="1">
      <c r="A119" s="291">
        <v>45911</v>
      </c>
      <c r="B119" s="289" t="s">
        <v>273</v>
      </c>
      <c r="C119" s="292" t="s"/>
      <c r="D119" s="293" t="s"/>
      <c r="E119" s="294" t="s"/>
      <c r="F119" s="293" t="s"/>
      <c r="G119" s="295" t="s"/>
      <c r="H119" s="295">
        <f>D119+E119+F119</f>
        <v>0</v>
      </c>
      <c r="I119" s="261" t="s"/>
      <c r="J119" s="227" t="s"/>
      <c r="K119" s="296" t="s"/>
      <c r="L119" s="245" t="s"/>
      <c r="M119" s="227" t="s"/>
      <c r="N119" s="297" t="s"/>
      <c r="O119" s="298" t="s"/>
      <c r="P119" s="299" t="s"/>
      <c r="Q119" s="214" t="s"/>
      <c r="R119" s="224" t="s"/>
      <c r="S119" s="224" t="s"/>
      <c r="T119" s="224" t="s"/>
      <c r="U119" s="224" t="s"/>
      <c r="V119" s="224" t="s"/>
      <c r="W119" s="224" t="s"/>
      <c r="X119" s="224" t="s"/>
      <c r="Y119" s="224" t="s"/>
      <c r="Z119" s="55" t="s"/>
      <c r="AA119" s="227" t="s"/>
      <c r="AB119" s="227" t="s"/>
      <c r="AC119" s="227" t="s"/>
      <c r="AD119" s="103" t="s"/>
    </row>
    <row r="120" spans="1:30" s="753" customFormat="1">
      <c r="A120" s="291">
        <v>45912</v>
      </c>
      <c r="B120" s="289" t="s">
        <v>274</v>
      </c>
      <c r="C120" s="292" t="s"/>
      <c r="D120" s="293" t="s"/>
      <c r="E120" s="294" t="s"/>
      <c r="F120" s="293" t="s"/>
      <c r="G120" s="295" t="s"/>
      <c r="H120" s="295">
        <f>D120+E120+F120</f>
        <v>0</v>
      </c>
      <c r="I120" s="261" t="s"/>
      <c r="J120" s="227" t="s"/>
      <c r="K120" s="296" t="s"/>
      <c r="L120" s="245" t="s"/>
      <c r="M120" s="227" t="s"/>
      <c r="N120" s="297" t="s"/>
      <c r="O120" s="298" t="s"/>
      <c r="P120" s="299" t="s"/>
      <c r="Q120" s="214" t="s"/>
      <c r="R120" s="224" t="s"/>
      <c r="S120" s="224" t="s"/>
      <c r="T120" s="224" t="s"/>
      <c r="U120" s="224" t="s"/>
      <c r="V120" s="224" t="s"/>
      <c r="W120" s="224" t="s"/>
      <c r="X120" s="224" t="s"/>
      <c r="Y120" s="224" t="s"/>
      <c r="Z120" s="55" t="s"/>
      <c r="AA120" s="227" t="s"/>
      <c r="AB120" s="227" t="s"/>
      <c r="AC120" s="227" t="s"/>
      <c r="AD120" s="103" t="s"/>
    </row>
    <row r="121" spans="1:30" s="753" customFormat="1">
      <c r="A121" s="291">
        <v>45913</v>
      </c>
      <c r="B121" s="289" t="s">
        <v>275</v>
      </c>
      <c r="C121" s="292" t="s"/>
      <c r="D121" s="293" t="s"/>
      <c r="E121" s="294" t="s"/>
      <c r="F121" s="293" t="s"/>
      <c r="G121" s="295" t="s"/>
      <c r="H121" s="295">
        <f>D121+E121+F121</f>
        <v>0</v>
      </c>
      <c r="I121" s="261" t="s"/>
      <c r="J121" s="227" t="s"/>
      <c r="K121" s="296" t="s"/>
      <c r="L121" s="245" t="s"/>
      <c r="M121" s="227" t="s"/>
      <c r="N121" s="297" t="s"/>
      <c r="O121" s="298" t="s"/>
      <c r="P121" s="299" t="s"/>
      <c r="Q121" s="214" t="s"/>
      <c r="R121" s="224" t="s"/>
      <c r="S121" s="224" t="s"/>
      <c r="T121" s="224" t="s"/>
      <c r="U121" s="224" t="s"/>
      <c r="V121" s="224" t="s"/>
      <c r="W121" s="224" t="s"/>
      <c r="X121" s="224" t="s"/>
      <c r="Y121" s="224" t="s"/>
      <c r="Z121" s="55" t="s"/>
      <c r="AA121" s="227" t="s"/>
      <c r="AB121" s="227" t="s"/>
      <c r="AC121" s="227" t="s"/>
      <c r="AD121" s="103" t="s"/>
    </row>
    <row r="122" spans="1:30" s="753" customFormat="1">
      <c r="A122" s="291">
        <v>45914</v>
      </c>
      <c r="B122" s="289" t="s">
        <v>276</v>
      </c>
      <c r="C122" s="292" t="s"/>
      <c r="D122" s="293" t="s"/>
      <c r="E122" s="294" t="s"/>
      <c r="F122" s="293" t="s"/>
      <c r="G122" s="295" t="s"/>
      <c r="H122" s="295">
        <f>D122+E122+F122</f>
        <v>0</v>
      </c>
      <c r="I122" s="261" t="s"/>
      <c r="J122" s="227" t="s"/>
      <c r="K122" s="296" t="s"/>
      <c r="L122" s="245" t="s"/>
      <c r="M122" s="227" t="s"/>
      <c r="N122" s="297" t="s"/>
      <c r="O122" s="298" t="s"/>
      <c r="P122" s="299" t="s"/>
      <c r="Q122" s="214" t="s"/>
      <c r="R122" s="224" t="s"/>
      <c r="S122" s="224" t="s"/>
      <c r="T122" s="224" t="s"/>
      <c r="U122" s="224" t="s"/>
      <c r="V122" s="224" t="s"/>
      <c r="W122" s="224" t="s"/>
      <c r="X122" s="224" t="s"/>
      <c r="Y122" s="224" t="s"/>
      <c r="Z122" s="55" t="s"/>
      <c r="AA122" s="227" t="s"/>
      <c r="AB122" s="227" t="s"/>
      <c r="AC122" s="227" t="s"/>
      <c r="AD122" s="103" t="s"/>
    </row>
    <row r="123" spans="1:30">
      <c r="A123" s="274" t="s"/>
      <c r="B123" s="274" t="s"/>
      <c r="C123" s="292" t="s"/>
      <c r="D123" s="293" t="s"/>
      <c r="E123" s="300" t="s"/>
      <c r="F123" s="274" t="s"/>
      <c r="G123" s="274" t="s"/>
      <c r="H123" s="274" t="s"/>
      <c r="I123" s="284" t="s"/>
      <c r="J123" s="301" t="s"/>
      <c r="K123" s="302" t="s"/>
      <c r="L123" s="303" t="s"/>
      <c r="M123" s="303" t="s"/>
      <c r="N123" s="56" t="s"/>
      <c r="O123" s="304" t="s"/>
      <c r="P123" s="297" t="s"/>
      <c r="Q123" s="305" t="s"/>
      <c r="R123" s="214" t="s"/>
      <c r="S123" s="214" t="s"/>
      <c r="T123" s="224" t="s"/>
      <c r="U123" s="224" t="s"/>
      <c r="V123" s="224" t="s"/>
      <c r="W123" s="224" t="s"/>
      <c r="X123" s="224" t="s"/>
      <c r="Y123" s="224" t="s"/>
      <c r="Z123" s="224" t="s"/>
      <c r="AA123" s="56" t="s"/>
      <c r="AB123" s="56" t="s"/>
      <c r="AC123" s="56" t="s"/>
      <c r="AD123" s="56" t="s"/>
    </row>
    <row r="124" spans="1:30">
      <c r="A124" s="274" t="s"/>
      <c r="B124" s="274" t="s"/>
      <c r="C124" s="292" t="s"/>
      <c r="D124" s="293" t="s"/>
      <c r="E124" s="300" t="s"/>
      <c r="F124" s="274" t="s"/>
      <c r="G124" s="274" t="s"/>
      <c r="H124" s="274" t="s"/>
      <c r="I124" s="284" t="s"/>
      <c r="J124" s="301" t="s"/>
      <c r="K124" s="302" t="s"/>
      <c r="L124" s="303" t="s"/>
      <c r="M124" s="303" t="s"/>
      <c r="N124" s="56" t="s"/>
      <c r="O124" s="304" t="s"/>
      <c r="P124" s="297" t="s"/>
      <c r="Q124" s="305" t="s"/>
      <c r="R124" s="214" t="s"/>
      <c r="S124" s="214" t="s"/>
      <c r="T124" s="224" t="s"/>
      <c r="U124" s="224" t="s"/>
      <c r="V124" s="224" t="s"/>
      <c r="W124" s="224" t="s"/>
      <c r="X124" s="224" t="s"/>
      <c r="Y124" s="224" t="s"/>
      <c r="Z124" s="224" t="s"/>
      <c r="AA124" s="56" t="s"/>
      <c r="AB124" s="56" t="s"/>
      <c r="AC124" s="56" t="s"/>
      <c r="AD124" s="56" t="s"/>
    </row>
    <row r="125" spans="1:30">
      <c r="A125" s="252" t="s">
        <v>14</v>
      </c>
      <c r="B125" s="252" t="s">
        <v>18</v>
      </c>
      <c r="C125" s="306" t="s"/>
      <c r="D125" s="307" t="s"/>
      <c r="E125" s="308" t="s"/>
      <c r="F125" s="56" t="s"/>
      <c r="G125" s="56" t="s"/>
      <c r="H125" s="56" t="s"/>
      <c r="I125" s="56" t="s"/>
      <c r="J125" s="56" t="s"/>
      <c r="K125" s="302" t="s"/>
      <c r="L125" s="303" t="s"/>
      <c r="M125" s="303" t="s"/>
      <c r="N125" s="56" t="s"/>
      <c r="O125" s="304" t="s"/>
      <c r="P125" s="297" t="s"/>
      <c r="Q125" s="305" t="s"/>
      <c r="R125" s="214" t="s"/>
      <c r="S125" s="214" t="s"/>
      <c r="T125" s="224" t="s"/>
      <c r="U125" s="224" t="s"/>
      <c r="V125" s="224" t="s"/>
      <c r="W125" s="224" t="s"/>
      <c r="X125" s="224" t="s"/>
      <c r="Y125" s="224" t="s"/>
      <c r="Z125" s="224" t="s"/>
      <c r="AA125" s="56" t="s"/>
      <c r="AB125" s="56" t="s"/>
      <c r="AC125" s="56" t="s"/>
      <c r="AD125" s="56" t="s"/>
    </row>
    <row r="126" spans="1:30">
      <c r="A126" s="92" t="s">
        <v>277</v>
      </c>
      <c r="B126" s="63">
        <f>ROUND(SUMIF(N:N,A126,R:R),2)</f>
        <v>0</v>
      </c>
      <c r="C126" s="306" t="s"/>
      <c r="D126" s="307" t="s"/>
      <c r="E126" s="308" t="s"/>
      <c r="F126" s="56" t="s"/>
      <c r="G126" s="56" t="s"/>
      <c r="H126" s="56" t="s"/>
      <c r="I126" s="56" t="s"/>
      <c r="J126" s="56" t="s"/>
      <c r="K126" s="302" t="s"/>
      <c r="L126" s="303" t="s"/>
      <c r="M126" s="303" t="s"/>
      <c r="N126" s="56" t="s"/>
      <c r="O126" s="304" t="s"/>
      <c r="P126" s="297" t="s"/>
      <c r="Q126" s="305" t="s"/>
      <c r="R126" s="214" t="s"/>
      <c r="S126" s="214" t="s"/>
      <c r="T126" s="224" t="s"/>
      <c r="U126" s="224" t="s"/>
      <c r="V126" s="224" t="s"/>
      <c r="W126" s="224" t="s"/>
      <c r="X126" s="224" t="s"/>
      <c r="Y126" s="224" t="s"/>
      <c r="Z126" s="224" t="s"/>
      <c r="AA126" s="56" t="s"/>
      <c r="AB126" s="56" t="s"/>
      <c r="AC126" s="56" t="s"/>
      <c r="AD126" s="56" t="s"/>
    </row>
    <row r="127" spans="1:30">
      <c r="A127" s="92" t="s">
        <v>36</v>
      </c>
      <c r="B127" s="63">
        <f>ROUND(SUMIF(N:N,A127,R:R),2)</f>
        <v>80801.51</v>
      </c>
      <c r="C127" s="306" t="s"/>
      <c r="D127" s="307" t="s"/>
      <c r="E127" s="308" t="s"/>
      <c r="F127" s="56" t="s"/>
      <c r="G127" s="56" t="s"/>
      <c r="H127" s="56" t="s"/>
      <c r="I127" s="56" t="s"/>
      <c r="J127" s="56" t="s"/>
      <c r="K127" s="302" t="s"/>
      <c r="L127" s="303" t="s"/>
      <c r="M127" s="303" t="s"/>
      <c r="N127" s="56" t="s"/>
      <c r="O127" s="304" t="s"/>
      <c r="P127" s="297" t="s"/>
      <c r="Q127" s="305" t="s"/>
      <c r="R127" s="214" t="s"/>
      <c r="S127" s="214" t="s"/>
      <c r="T127" s="224" t="s"/>
      <c r="U127" s="224" t="s"/>
      <c r="V127" s="224" t="s"/>
      <c r="W127" s="224" t="s"/>
      <c r="X127" s="224" t="s"/>
      <c r="Y127" s="224" t="s"/>
      <c r="Z127" s="224" t="s"/>
      <c r="AA127" s="56" t="s"/>
      <c r="AB127" s="56" t="s"/>
      <c r="AC127" s="56" t="s"/>
      <c r="AD127" s="56" t="s"/>
    </row>
    <row r="128" spans="1:30">
      <c r="A128" s="92" t="s">
        <v>48</v>
      </c>
      <c r="B128" s="63">
        <f>ROUND(SUMIF(N:N,A128,R:R),2)</f>
        <v>46363.03</v>
      </c>
      <c r="C128" s="306" t="s"/>
      <c r="D128" s="307" t="s"/>
      <c r="E128" s="308" t="s"/>
      <c r="F128" s="56" t="s"/>
      <c r="G128" s="56" t="s"/>
      <c r="H128" s="56" t="s"/>
      <c r="I128" s="56" t="s"/>
      <c r="J128" s="56" t="s"/>
      <c r="K128" s="302" t="s"/>
      <c r="L128" s="303" t="s">
        <v>278</v>
      </c>
      <c r="M128" s="303" t="s"/>
      <c r="N128" s="56" t="s"/>
      <c r="O128" s="304" t="s"/>
      <c r="P128" s="297" t="s"/>
      <c r="Q128" s="305" t="s"/>
      <c r="R128" s="214" t="s"/>
      <c r="S128" s="214" t="s"/>
      <c r="T128" s="224" t="s"/>
      <c r="U128" s="224" t="s"/>
      <c r="V128" s="224" t="s"/>
      <c r="W128" s="224" t="s"/>
      <c r="X128" s="224" t="s"/>
      <c r="Y128" s="224" t="s"/>
      <c r="Z128" s="224" t="s"/>
      <c r="AA128" s="56" t="s"/>
      <c r="AB128" s="56" t="s"/>
      <c r="AC128" s="56" t="s"/>
      <c r="AD128" s="56" t="s"/>
    </row>
    <row r="129" spans="1:30">
      <c r="A129" s="92" t="s">
        <v>54</v>
      </c>
      <c r="B129" s="63">
        <f>ROUND(SUMIF(N:N,A129,R:R),2)</f>
        <v>24226.52</v>
      </c>
      <c r="C129" s="306" t="s"/>
      <c r="D129" s="307" t="s"/>
      <c r="E129" s="308" t="s"/>
      <c r="F129" s="56" t="s"/>
      <c r="G129" s="56" t="s"/>
      <c r="H129" s="56" t="s"/>
      <c r="I129" s="56" t="s"/>
      <c r="J129" s="56" t="s"/>
      <c r="K129" s="302" t="s"/>
      <c r="L129" s="303" t="s"/>
      <c r="M129" s="303" t="s"/>
      <c r="N129" s="56" t="s"/>
      <c r="O129" s="304" t="s"/>
      <c r="P129" s="297" t="s"/>
      <c r="Q129" s="305" t="s"/>
      <c r="R129" s="214" t="s"/>
      <c r="S129" s="214" t="s"/>
      <c r="T129" s="224" t="s"/>
      <c r="U129" s="224" t="s"/>
      <c r="V129" s="224" t="s"/>
      <c r="W129" s="224" t="s"/>
      <c r="X129" s="224" t="s"/>
      <c r="Y129" s="224" t="s"/>
      <c r="Z129" s="224" t="s"/>
      <c r="AA129" s="56" t="s"/>
      <c r="AB129" s="56" t="s"/>
      <c r="AC129" s="56" t="s"/>
      <c r="AD129" s="56" t="s"/>
    </row>
    <row r="130" spans="1:30">
      <c r="A130" s="92" t="s">
        <v>279</v>
      </c>
      <c r="B130" s="63">
        <f>ROUND(SUMIF(N:N,A130,R:R),2)</f>
        <v>0</v>
      </c>
      <c r="C130" s="306" t="s"/>
      <c r="D130" s="307" t="s"/>
      <c r="E130" s="308" t="s"/>
      <c r="F130" s="56" t="s"/>
      <c r="G130" s="56" t="s"/>
      <c r="H130" s="56" t="s"/>
      <c r="I130" s="56" t="s"/>
      <c r="J130" s="56" t="s"/>
      <c r="K130" s="302" t="s"/>
      <c r="L130" s="303" t="s"/>
      <c r="M130" s="303" t="s"/>
      <c r="N130" s="56" t="s"/>
      <c r="O130" s="304" t="s"/>
      <c r="P130" s="297" t="s"/>
      <c r="Q130" s="305" t="s"/>
      <c r="R130" s="214" t="s"/>
      <c r="S130" s="214" t="s"/>
      <c r="T130" s="224" t="s"/>
      <c r="U130" s="224" t="s"/>
      <c r="V130" s="224" t="s"/>
      <c r="W130" s="224" t="s"/>
      <c r="X130" s="224" t="s"/>
      <c r="Y130" s="224" t="s"/>
      <c r="Z130" s="224" t="s"/>
      <c r="AA130" s="56" t="s"/>
      <c r="AB130" s="56" t="s"/>
      <c r="AC130" s="56" t="s"/>
      <c r="AD130" s="56" t="s"/>
    </row>
    <row r="131" spans="1:30">
      <c r="A131" s="92" t="s">
        <v>201</v>
      </c>
      <c r="B131" s="63">
        <f>ROUND(SUMIF(N:N,A131,R:R),2)</f>
        <v>8.95</v>
      </c>
      <c r="C131" s="306" t="s"/>
      <c r="D131" s="307" t="s"/>
      <c r="E131" s="308" t="s"/>
      <c r="F131" s="56" t="s"/>
      <c r="G131" s="56" t="s"/>
      <c r="H131" s="56" t="s"/>
      <c r="I131" s="56" t="s"/>
      <c r="J131" s="56" t="s"/>
      <c r="K131" s="302" t="s"/>
      <c r="L131" s="303" t="s"/>
      <c r="M131" s="303" t="s"/>
      <c r="N131" s="56" t="s"/>
      <c r="O131" s="304" t="s"/>
      <c r="P131" s="297" t="s"/>
      <c r="Q131" s="305" t="s"/>
      <c r="R131" s="214" t="s"/>
      <c r="S131" s="214" t="s"/>
      <c r="T131" s="224" t="s"/>
      <c r="U131" s="224" t="s"/>
      <c r="V131" s="224" t="s"/>
      <c r="W131" s="224" t="s"/>
      <c r="X131" s="224" t="s"/>
      <c r="Y131" s="224" t="s"/>
      <c r="Z131" s="224" t="s"/>
      <c r="AA131" s="56" t="s"/>
      <c r="AB131" s="56" t="s"/>
      <c r="AC131" s="56" t="s"/>
      <c r="AD131" s="56" t="s"/>
    </row>
    <row r="132" spans="1:30">
      <c r="A132" s="92" t="s">
        <v>112</v>
      </c>
      <c r="B132" s="63">
        <f>ROUND(SUMIF(N:N,A132,R:R),2)</f>
        <v>8742.88</v>
      </c>
      <c r="C132" s="306" t="s"/>
      <c r="D132" s="307" t="s"/>
      <c r="E132" s="308" t="s"/>
      <c r="F132" s="56" t="s"/>
      <c r="G132" s="56" t="s"/>
      <c r="H132" s="56" t="s"/>
      <c r="I132" s="56" t="s"/>
      <c r="J132" s="56" t="s"/>
      <c r="K132" s="302" t="s"/>
      <c r="L132" s="303" t="s"/>
      <c r="M132" s="303" t="s"/>
      <c r="N132" s="56" t="s"/>
      <c r="O132" s="304" t="s"/>
      <c r="P132" s="297" t="s"/>
      <c r="Q132" s="305" t="s"/>
      <c r="R132" s="214" t="s"/>
      <c r="S132" s="214" t="s"/>
      <c r="T132" s="224" t="s"/>
      <c r="U132" s="224" t="s"/>
      <c r="V132" s="224" t="s"/>
      <c r="W132" s="224" t="s"/>
      <c r="X132" s="224" t="s"/>
      <c r="Y132" s="224" t="s"/>
      <c r="Z132" s="224" t="s"/>
      <c r="AA132" s="56" t="s"/>
      <c r="AB132" s="56" t="s"/>
      <c r="AC132" s="56" t="s"/>
      <c r="AD132" s="56" t="s"/>
    </row>
    <row r="133" spans="1:30">
      <c r="A133" s="92" t="s">
        <v>134</v>
      </c>
      <c r="B133" s="63">
        <f>ROUND(SUMIF(N:N,A133,R:R),2)</f>
        <v>9563.68</v>
      </c>
      <c r="C133" s="306" t="s"/>
      <c r="D133" s="307" t="s"/>
      <c r="E133" s="308" t="s"/>
      <c r="F133" s="56" t="s"/>
      <c r="G133" s="56" t="s"/>
      <c r="H133" s="56" t="s"/>
      <c r="I133" s="56" t="s"/>
      <c r="J133" s="56" t="s"/>
      <c r="K133" s="302" t="s"/>
      <c r="L133" s="303" t="s"/>
      <c r="M133" s="303" t="s"/>
      <c r="N133" s="56" t="s"/>
      <c r="O133" s="304" t="s"/>
      <c r="P133" s="297" t="s"/>
      <c r="Q133" s="305" t="s"/>
      <c r="R133" s="214" t="s"/>
      <c r="S133" s="214" t="s"/>
      <c r="T133" s="224" t="s"/>
      <c r="U133" s="224" t="s"/>
      <c r="V133" s="224" t="s"/>
      <c r="W133" s="224" t="s"/>
      <c r="X133" s="224" t="s"/>
      <c r="Y133" s="224" t="s"/>
      <c r="Z133" s="224" t="s"/>
      <c r="AA133" s="56" t="s"/>
      <c r="AB133" s="56" t="s"/>
      <c r="AC133" s="56" t="s"/>
      <c r="AD133" s="56" t="s"/>
    </row>
    <row r="134" spans="1:30">
      <c r="A134" s="42" t="s">
        <v>44</v>
      </c>
      <c r="B134" s="63">
        <f>ROUND(SUMIF(N:N,A134,R:R),2)</f>
        <v>3043.89</v>
      </c>
      <c r="C134" s="306" t="s"/>
      <c r="D134" s="307" t="s"/>
      <c r="E134" s="308" t="s"/>
      <c r="F134" s="56" t="s"/>
      <c r="G134" s="56" t="s"/>
      <c r="H134" s="56" t="s"/>
      <c r="I134" s="56" t="s"/>
      <c r="J134" s="56" t="s"/>
      <c r="K134" s="302" t="s"/>
      <c r="L134" s="303" t="s"/>
      <c r="M134" s="303" t="s"/>
      <c r="N134" s="56" t="s"/>
      <c r="O134" s="304" t="s"/>
      <c r="P134" s="297" t="s"/>
      <c r="Q134" s="305" t="s"/>
      <c r="R134" s="214" t="s"/>
      <c r="S134" s="214" t="s"/>
      <c r="T134" s="224" t="s"/>
      <c r="U134" s="224" t="s"/>
      <c r="V134" s="224" t="s"/>
      <c r="W134" s="224" t="s"/>
      <c r="X134" s="224" t="s"/>
      <c r="Y134" s="224" t="s"/>
      <c r="Z134" s="224" t="s"/>
      <c r="AA134" s="56" t="s"/>
      <c r="AB134" s="56" t="s"/>
      <c r="AC134" s="56" t="s"/>
      <c r="AD134" s="56" t="s"/>
    </row>
    <row r="135" spans="1:30">
      <c r="A135" s="56" t="s"/>
      <c r="B135" s="56" t="s"/>
      <c r="C135" s="306" t="s"/>
      <c r="D135" s="307" t="s"/>
      <c r="E135" s="308" t="s"/>
      <c r="F135" s="56" t="s"/>
      <c r="G135" s="56" t="s"/>
      <c r="H135" s="56" t="s"/>
      <c r="I135" s="56" t="s"/>
      <c r="J135" s="56" t="s"/>
      <c r="K135" s="302" t="s"/>
      <c r="L135" s="303" t="s"/>
      <c r="M135" s="303" t="s"/>
      <c r="N135" s="56" t="s"/>
      <c r="O135" s="304" t="s"/>
      <c r="P135" s="297" t="s"/>
      <c r="Q135" s="305" t="s"/>
      <c r="R135" s="214" t="s"/>
      <c r="S135" s="214" t="s"/>
      <c r="T135" s="224" t="s"/>
      <c r="U135" s="224" t="s"/>
      <c r="V135" s="224" t="s"/>
      <c r="W135" s="224" t="s"/>
      <c r="X135" s="224" t="s"/>
      <c r="Y135" s="224" t="s"/>
      <c r="Z135" s="224" t="s"/>
      <c r="AA135" s="56" t="s"/>
      <c r="AB135" s="56" t="s"/>
      <c r="AC135" s="56" t="s"/>
      <c r="AD135" s="56" t="s"/>
    </row>
    <row r="136" spans="1:30">
      <c r="A136" s="56" t="s"/>
      <c r="B136" s="56" t="s"/>
      <c r="C136" s="306" t="s"/>
      <c r="D136" s="307" t="s"/>
      <c r="E136" s="308" t="s"/>
      <c r="F136" s="56" t="s"/>
      <c r="G136" s="56" t="s"/>
      <c r="H136" s="56" t="s"/>
      <c r="I136" s="56" t="s"/>
      <c r="J136" s="56" t="s"/>
      <c r="K136" s="302" t="s"/>
      <c r="L136" s="303" t="s"/>
      <c r="M136" s="303" t="s"/>
      <c r="N136" s="56" t="s"/>
      <c r="O136" s="304" t="s"/>
      <c r="P136" s="297" t="s"/>
      <c r="Q136" s="305" t="s"/>
      <c r="R136" s="214" t="s"/>
      <c r="S136" s="214" t="s"/>
      <c r="T136" s="224" t="s"/>
      <c r="U136" s="224" t="s"/>
      <c r="V136" s="224" t="s"/>
      <c r="W136" s="224" t="s"/>
      <c r="X136" s="224" t="s"/>
      <c r="Y136" s="224" t="s"/>
      <c r="Z136" s="224" t="s"/>
      <c r="AA136" s="56" t="s"/>
      <c r="AB136" s="56" t="s"/>
      <c r="AC136" s="56" t="s"/>
      <c r="AD136" s="56" t="s"/>
    </row>
    <row r="137" spans="1:30">
      <c r="A137" s="56" t="s"/>
      <c r="B137" s="56" t="s"/>
      <c r="C137" s="306" t="s"/>
      <c r="D137" s="307" t="s"/>
      <c r="E137" s="308" t="s"/>
      <c r="F137" s="56" t="s"/>
      <c r="G137" s="56" t="s"/>
      <c r="H137" s="56" t="s"/>
      <c r="I137" s="56" t="s"/>
      <c r="J137" s="56" t="s"/>
      <c r="K137" s="302" t="s"/>
      <c r="L137" s="303" t="s"/>
      <c r="M137" s="303" t="s"/>
      <c r="N137" s="56" t="s"/>
      <c r="O137" s="304" t="s"/>
      <c r="P137" s="297" t="s"/>
      <c r="Q137" s="305" t="s"/>
      <c r="R137" s="214" t="s"/>
      <c r="S137" s="214" t="s"/>
      <c r="T137" s="224" t="s"/>
      <c r="U137" s="224" t="s"/>
      <c r="V137" s="224" t="s"/>
      <c r="W137" s="224" t="s"/>
      <c r="X137" s="224" t="s"/>
      <c r="Y137" s="224" t="s"/>
      <c r="Z137" s="224" t="s"/>
      <c r="AA137" s="56" t="s"/>
      <c r="AB137" s="56" t="s"/>
      <c r="AC137" s="56" t="s"/>
      <c r="AD137" s="56" t="s"/>
    </row>
    <row r="138" spans="1:30">
      <c r="A138" s="56" t="s"/>
      <c r="B138" s="56" t="s"/>
      <c r="C138" s="306" t="s"/>
      <c r="D138" s="307" t="s"/>
      <c r="E138" s="308" t="s"/>
      <c r="F138" s="56" t="s"/>
      <c r="G138" s="56" t="s"/>
      <c r="H138" s="56" t="s"/>
      <c r="I138" s="56" t="s"/>
      <c r="J138" s="56" t="s"/>
      <c r="K138" s="302" t="s"/>
      <c r="L138" s="303" t="s"/>
      <c r="M138" s="303" t="s"/>
      <c r="N138" s="56" t="s"/>
      <c r="O138" s="304" t="s"/>
      <c r="P138" s="297" t="s"/>
      <c r="Q138" s="305" t="s"/>
      <c r="R138" s="214" t="s"/>
      <c r="S138" s="214" t="s"/>
      <c r="T138" s="224" t="s"/>
      <c r="U138" s="224" t="s"/>
      <c r="V138" s="224" t="s"/>
      <c r="W138" s="224" t="s"/>
      <c r="X138" s="224" t="s"/>
      <c r="Y138" s="224" t="s"/>
      <c r="Z138" s="224" t="s"/>
      <c r="AA138" s="56" t="s"/>
      <c r="AB138" s="56" t="s"/>
      <c r="AC138" s="56" t="s"/>
      <c r="AD138" s="56" t="s"/>
    </row>
    <row r="139" spans="1:30">
      <c r="A139" s="56" t="s"/>
      <c r="B139" s="56" t="s"/>
      <c r="C139" s="306" t="s"/>
      <c r="D139" s="307" t="s"/>
      <c r="E139" s="308" t="s"/>
      <c r="F139" s="56" t="s"/>
      <c r="G139" s="56" t="s"/>
      <c r="H139" s="56" t="s"/>
      <c r="I139" s="56" t="s"/>
      <c r="J139" s="56" t="s"/>
      <c r="K139" s="302" t="s"/>
      <c r="L139" s="303" t="s"/>
      <c r="M139" s="303" t="s"/>
      <c r="N139" s="56" t="s"/>
      <c r="O139" s="304" t="s"/>
      <c r="P139" s="297" t="s"/>
      <c r="Q139" s="305" t="s"/>
      <c r="R139" s="214" t="s"/>
      <c r="S139" s="214" t="s"/>
      <c r="T139" s="224" t="s"/>
      <c r="U139" s="224" t="s"/>
      <c r="V139" s="224" t="s"/>
      <c r="W139" s="224" t="s"/>
      <c r="X139" s="224" t="s"/>
      <c r="Y139" s="224" t="s"/>
      <c r="Z139" s="224" t="s"/>
      <c r="AA139" s="56" t="s"/>
      <c r="AB139" s="56" t="s"/>
      <c r="AC139" s="56" t="s"/>
      <c r="AD139" s="56" t="s"/>
    </row>
    <row r="140" spans="1:30">
      <c r="A140" s="56" t="s"/>
      <c r="B140" s="56" t="s"/>
      <c r="C140" s="306" t="s"/>
      <c r="D140" s="307" t="s"/>
      <c r="E140" s="308" t="s"/>
      <c r="F140" s="56" t="s"/>
      <c r="G140" s="56" t="s"/>
      <c r="H140" s="56" t="s"/>
      <c r="I140" s="56" t="s"/>
      <c r="J140" s="56" t="s"/>
      <c r="K140" s="302" t="s"/>
      <c r="L140" s="303" t="s"/>
      <c r="M140" s="303" t="s"/>
      <c r="N140" s="56" t="s"/>
      <c r="O140" s="304" t="s"/>
      <c r="P140" s="297" t="s"/>
      <c r="Q140" s="305" t="s"/>
      <c r="R140" s="214" t="s"/>
      <c r="S140" s="214" t="s"/>
      <c r="T140" s="224" t="s"/>
      <c r="U140" s="224" t="s"/>
      <c r="V140" s="224" t="s"/>
      <c r="W140" s="224" t="s"/>
      <c r="X140" s="224" t="s"/>
      <c r="Y140" s="224" t="s"/>
      <c r="Z140" s="224" t="s"/>
      <c r="AA140" s="56" t="s"/>
      <c r="AB140" s="56" t="s"/>
      <c r="AC140" s="56" t="s"/>
      <c r="AD140" s="56" t="s"/>
    </row>
    <row r="141" spans="1:30">
      <c r="A141" s="56" t="s"/>
      <c r="B141" s="56" t="s"/>
      <c r="C141" s="306" t="s"/>
      <c r="D141" s="307" t="s"/>
      <c r="E141" s="308" t="s"/>
      <c r="F141" s="56" t="s"/>
      <c r="G141" s="56" t="s"/>
      <c r="H141" s="56" t="s"/>
      <c r="I141" s="56" t="s"/>
      <c r="J141" s="56" t="s"/>
      <c r="K141" s="302" t="s"/>
      <c r="L141" s="303" t="s"/>
      <c r="M141" s="303" t="s"/>
      <c r="N141" s="56" t="s"/>
      <c r="O141" s="304" t="s"/>
      <c r="P141" s="297" t="s"/>
      <c r="Q141" s="305" t="s"/>
      <c r="R141" s="214" t="s"/>
      <c r="S141" s="214" t="s"/>
      <c r="T141" s="224" t="s"/>
      <c r="U141" s="224" t="s"/>
      <c r="V141" s="224" t="s"/>
      <c r="W141" s="224" t="s"/>
      <c r="X141" s="224" t="s"/>
      <c r="Y141" s="224" t="s"/>
      <c r="Z141" s="224" t="s"/>
      <c r="AA141" s="56" t="s"/>
      <c r="AB141" s="56" t="s"/>
      <c r="AC141" s="56" t="s"/>
      <c r="AD141" s="56" t="s"/>
    </row>
    <row r="142" spans="1:30">
      <c r="A142" s="56" t="s">
        <v>280</v>
      </c>
      <c r="B142" s="56" t="s"/>
      <c r="C142" s="306" t="s"/>
      <c r="D142" s="307" t="s"/>
      <c r="E142" s="308" t="s"/>
      <c r="F142" s="56" t="s"/>
      <c r="G142" s="56" t="s"/>
      <c r="H142" s="56" t="s"/>
      <c r="I142" s="56" t="s"/>
      <c r="J142" s="56" t="s"/>
      <c r="K142" s="302" t="s"/>
      <c r="L142" s="303" t="s"/>
      <c r="M142" s="303" t="s"/>
      <c r="N142" s="56" t="s"/>
      <c r="O142" s="304" t="s"/>
      <c r="P142" s="297" t="s"/>
      <c r="Q142" s="305" t="s"/>
      <c r="R142" s="214" t="s"/>
      <c r="S142" s="214" t="s"/>
      <c r="T142" s="224" t="s"/>
      <c r="U142" s="224" t="s"/>
      <c r="V142" s="224" t="s"/>
      <c r="W142" s="224" t="s"/>
      <c r="X142" s="224" t="s"/>
      <c r="Y142" s="224" t="s"/>
      <c r="Z142" s="224" t="s"/>
      <c r="AA142" s="56" t="s"/>
      <c r="AB142" s="56" t="s"/>
      <c r="AC142" s="56" t="s"/>
      <c r="AD142" s="56" t="s"/>
    </row>
    <row r="143" spans="1:30">
      <c r="A143" s="309">
        <v>46290</v>
      </c>
      <c r="B143" s="219" t="s"/>
      <c r="C143" s="306" t="s"/>
      <c r="D143" s="307" t="s"/>
      <c r="E143" s="308" t="s"/>
      <c r="F143" s="56" t="s"/>
      <c r="G143" s="56" t="s"/>
      <c r="H143" s="56" t="s"/>
      <c r="I143" s="56" t="s"/>
      <c r="J143" s="56" t="s"/>
      <c r="K143" s="302" t="s"/>
      <c r="L143" s="303" t="s"/>
      <c r="M143" s="303" t="s"/>
      <c r="N143" s="56" t="s"/>
      <c r="O143" s="304" t="s"/>
      <c r="P143" s="297" t="s"/>
      <c r="Q143" s="305" t="s"/>
      <c r="R143" s="214" t="s"/>
      <c r="S143" s="214" t="s"/>
      <c r="T143" s="224" t="s"/>
      <c r="U143" s="224" t="s"/>
      <c r="V143" s="224" t="s"/>
      <c r="W143" s="224" t="s"/>
      <c r="X143" s="224" t="s"/>
      <c r="Y143" s="224" t="s"/>
      <c r="Z143" s="224" t="s"/>
      <c r="AA143" s="56" t="s"/>
      <c r="AB143" s="56" t="s"/>
      <c r="AC143" s="56" t="s"/>
      <c r="AD143" s="56" t="s"/>
    </row>
    <row r="144" spans="1:30">
      <c r="A144" s="309">
        <v>46296</v>
      </c>
      <c r="B144" s="219" t="s"/>
      <c r="C144" s="306" t="s"/>
      <c r="D144" s="307" t="s"/>
      <c r="E144" s="308" t="s"/>
      <c r="F144" s="56" t="s"/>
      <c r="G144" s="56" t="s"/>
      <c r="H144" s="56" t="s"/>
      <c r="I144" s="56" t="s"/>
      <c r="J144" s="56" t="s"/>
      <c r="K144" s="302" t="s"/>
      <c r="L144" s="303" t="s"/>
      <c r="M144" s="303" t="s"/>
      <c r="N144" s="56" t="s"/>
      <c r="O144" s="304" t="s"/>
      <c r="P144" s="297" t="s"/>
      <c r="Q144" s="305" t="s"/>
      <c r="R144" s="214" t="s"/>
      <c r="S144" s="214" t="s"/>
      <c r="T144" s="224" t="s"/>
      <c r="U144" s="224" t="s"/>
      <c r="V144" s="224" t="s"/>
      <c r="W144" s="224" t="s"/>
      <c r="X144" s="224" t="s"/>
      <c r="Y144" s="224" t="s"/>
      <c r="Z144" s="224" t="s"/>
      <c r="AA144" s="56" t="s"/>
      <c r="AB144" s="56" t="s"/>
      <c r="AC144" s="56" t="s"/>
      <c r="AD144" s="56" t="s"/>
    </row>
    <row r="145" spans="1:30">
      <c r="A145" s="309">
        <v>46297</v>
      </c>
      <c r="B145" s="219" t="s"/>
      <c r="C145" s="306" t="s"/>
      <c r="D145" s="307" t="s"/>
      <c r="E145" s="308" t="s"/>
      <c r="F145" s="56" t="s"/>
      <c r="G145" s="56" t="s"/>
      <c r="H145" s="56" t="s"/>
      <c r="I145" s="56" t="s"/>
      <c r="J145" s="56" t="s"/>
      <c r="K145" s="302" t="s"/>
      <c r="L145" s="303" t="s"/>
      <c r="M145" s="303" t="s"/>
      <c r="N145" s="56" t="s"/>
      <c r="O145" s="304" t="s"/>
      <c r="P145" s="297" t="s"/>
      <c r="Q145" s="305" t="s"/>
      <c r="R145" s="214" t="s"/>
      <c r="S145" s="214" t="s"/>
      <c r="T145" s="224" t="s"/>
      <c r="U145" s="224" t="s"/>
      <c r="V145" s="224" t="s"/>
      <c r="W145" s="224" t="s"/>
      <c r="X145" s="224" t="s"/>
      <c r="Y145" s="224" t="s"/>
      <c r="Z145" s="224" t="s"/>
      <c r="AA145" s="56" t="s"/>
      <c r="AB145" s="56" t="s"/>
      <c r="AC145" s="56" t="s"/>
      <c r="AD145" s="56" t="s"/>
    </row>
    <row r="146" spans="1:30">
      <c r="A146" s="309">
        <v>46300</v>
      </c>
      <c r="B146" s="219" t="s"/>
      <c r="C146" s="306" t="s"/>
      <c r="D146" s="307" t="s"/>
      <c r="E146" s="308" t="s"/>
      <c r="F146" s="56" t="s"/>
      <c r="G146" s="56" t="s"/>
      <c r="H146" s="56" t="s"/>
      <c r="I146" s="56" t="s"/>
      <c r="J146" s="56" t="s"/>
      <c r="K146" s="302" t="s"/>
      <c r="L146" s="303" t="s"/>
      <c r="M146" s="303" t="s"/>
      <c r="N146" s="56" t="s"/>
      <c r="O146" s="304" t="s"/>
      <c r="P146" s="297" t="s"/>
      <c r="Q146" s="305" t="s"/>
      <c r="R146" s="214" t="s"/>
      <c r="S146" s="214" t="s"/>
      <c r="T146" s="224" t="s"/>
      <c r="U146" s="224" t="s"/>
      <c r="V146" s="224" t="s"/>
      <c r="W146" s="224" t="s"/>
      <c r="X146" s="224" t="s"/>
      <c r="Y146" s="224" t="s"/>
      <c r="Z146" s="224" t="s"/>
      <c r="AA146" s="56" t="s"/>
      <c r="AB146" s="56" t="s"/>
      <c r="AC146" s="56" t="s"/>
      <c r="AD146" s="56" t="s"/>
    </row>
    <row r="147" spans="1:30">
      <c r="A147" s="309">
        <v>46301</v>
      </c>
      <c r="B147" s="219" t="s"/>
      <c r="C147" s="306" t="s"/>
      <c r="D147" s="307" t="s"/>
      <c r="E147" s="308" t="s"/>
      <c r="F147" s="56" t="s"/>
      <c r="G147" s="56" t="s"/>
      <c r="H147" s="56" t="s"/>
      <c r="I147" s="56" t="s"/>
      <c r="J147" s="56" t="s"/>
      <c r="K147" s="302" t="s"/>
      <c r="L147" s="303" t="s"/>
      <c r="M147" s="303" t="s"/>
      <c r="N147" s="56" t="s"/>
      <c r="O147" s="304" t="s"/>
      <c r="P147" s="297" t="s"/>
      <c r="Q147" s="305" t="s"/>
      <c r="R147" s="214" t="s"/>
      <c r="S147" s="214" t="s"/>
      <c r="T147" s="224" t="s"/>
      <c r="U147" s="224" t="s"/>
      <c r="V147" s="224" t="s"/>
      <c r="W147" s="224" t="s"/>
      <c r="X147" s="224" t="s"/>
      <c r="Y147" s="224" t="s"/>
      <c r="Z147" s="224" t="s"/>
      <c r="AA147" s="56" t="s"/>
      <c r="AB147" s="56" t="s"/>
      <c r="AC147" s="56" t="s"/>
      <c r="AD147" s="56" t="s"/>
    </row>
    <row r="148" spans="1:30">
      <c r="A148" s="309">
        <v>46302</v>
      </c>
      <c r="B148" s="219" t="s"/>
      <c r="C148" s="306" t="s"/>
      <c r="D148" s="307" t="s"/>
      <c r="E148" s="308" t="s"/>
      <c r="F148" s="56" t="s"/>
      <c r="G148" s="56" t="s"/>
      <c r="H148" s="56" t="s"/>
      <c r="I148" s="56" t="s"/>
      <c r="J148" s="56" t="s"/>
      <c r="K148" s="302" t="s"/>
      <c r="L148" s="303" t="s"/>
      <c r="M148" s="303" t="s"/>
      <c r="N148" s="56" t="s"/>
      <c r="O148" s="304" t="s"/>
      <c r="P148" s="297" t="s"/>
      <c r="Q148" s="305" t="s"/>
      <c r="R148" s="214" t="s"/>
      <c r="S148" s="214" t="s"/>
      <c r="T148" s="224" t="s"/>
      <c r="U148" s="224" t="s"/>
      <c r="V148" s="224" t="s"/>
      <c r="W148" s="224" t="s"/>
      <c r="X148" s="224" t="s"/>
      <c r="Y148" s="224" t="s"/>
      <c r="Z148" s="224" t="s"/>
      <c r="AA148" s="56" t="s"/>
      <c r="AB148" s="56" t="s"/>
      <c r="AC148" s="56" t="s"/>
      <c r="AD148" s="56" t="s"/>
    </row>
    <row r="149" spans="1:30">
      <c r="A149" s="56" t="s"/>
      <c r="B149" s="56" t="s"/>
      <c r="C149" s="306" t="s"/>
      <c r="D149" s="307" t="s"/>
      <c r="E149" s="308" t="s"/>
      <c r="F149" s="56" t="s"/>
      <c r="G149" s="56" t="s"/>
      <c r="H149" s="56" t="s"/>
      <c r="I149" s="56" t="s"/>
      <c r="J149" s="56" t="s"/>
      <c r="K149" s="302" t="s"/>
      <c r="L149" s="303" t="s"/>
      <c r="M149" s="303" t="s"/>
      <c r="N149" s="56" t="s"/>
      <c r="O149" s="304" t="s"/>
      <c r="P149" s="297" t="s"/>
      <c r="Q149" s="305" t="s"/>
      <c r="R149" s="214" t="s"/>
      <c r="S149" s="214" t="s"/>
      <c r="T149" s="224" t="s"/>
      <c r="U149" s="224" t="s"/>
      <c r="V149" s="224" t="s"/>
      <c r="W149" s="224" t="s"/>
      <c r="X149" s="224" t="s"/>
      <c r="Y149" s="224" t="s"/>
      <c r="Z149" s="224" t="s"/>
      <c r="AA149" s="56" t="s"/>
      <c r="AB149" s="56" t="s"/>
      <c r="AC149" s="56" t="s"/>
      <c r="AD149" s="56" t="s"/>
    </row>
    <row r="150" spans="1:30">
      <c r="A150" s="56" t="s"/>
      <c r="B150" s="56" t="s"/>
      <c r="C150" s="306" t="s"/>
      <c r="D150" s="307" t="s"/>
      <c r="E150" s="308" t="s"/>
      <c r="F150" s="56" t="s"/>
      <c r="G150" s="56" t="s"/>
      <c r="H150" s="56" t="s"/>
      <c r="I150" s="56" t="s"/>
      <c r="J150" s="56" t="s"/>
      <c r="K150" s="302" t="s"/>
      <c r="L150" s="303" t="s"/>
      <c r="M150" s="303" t="s"/>
      <c r="N150" s="56" t="s"/>
      <c r="O150" s="304" t="s"/>
      <c r="P150" s="297" t="s"/>
      <c r="Q150" s="305" t="s"/>
      <c r="R150" s="214" t="s"/>
      <c r="S150" s="214" t="s"/>
      <c r="T150" s="224" t="s"/>
      <c r="U150" s="224" t="s"/>
      <c r="V150" s="224" t="s"/>
      <c r="W150" s="224" t="s"/>
      <c r="X150" s="224" t="s"/>
      <c r="Y150" s="224" t="s"/>
      <c r="Z150" s="224" t="s"/>
      <c r="AA150" s="56" t="s"/>
      <c r="AB150" s="56" t="s"/>
      <c r="AC150" s="56" t="s"/>
      <c r="AD150" s="56" t="s"/>
    </row>
    <row r="151" spans="1:30">
      <c r="A151" s="56" t="s"/>
      <c r="B151" s="56" t="s"/>
      <c r="C151" s="306" t="s"/>
      <c r="D151" s="307" t="s"/>
      <c r="E151" s="308" t="s"/>
      <c r="F151" s="56" t="s"/>
      <c r="G151" s="56" t="s"/>
      <c r="H151" s="56" t="s"/>
      <c r="I151" s="56" t="s"/>
      <c r="J151" s="56" t="s"/>
      <c r="K151" s="302" t="s"/>
      <c r="L151" s="303" t="s"/>
      <c r="M151" s="303" t="s"/>
      <c r="N151" s="56" t="s"/>
      <c r="O151" s="304" t="s"/>
      <c r="P151" s="297" t="s"/>
      <c r="Q151" s="305" t="s"/>
      <c r="R151" s="214" t="s"/>
      <c r="S151" s="214" t="s"/>
      <c r="T151" s="224" t="s"/>
      <c r="U151" s="224" t="s"/>
      <c r="V151" s="224" t="s"/>
      <c r="W151" s="224" t="s"/>
      <c r="X151" s="224" t="s"/>
      <c r="Y151" s="224" t="s"/>
      <c r="Z151" s="224" t="s"/>
      <c r="AA151" s="56" t="s"/>
      <c r="AB151" s="56" t="s"/>
      <c r="AC151" s="56" t="s"/>
      <c r="AD151" s="56" t="s"/>
    </row>
    <row r="152" spans="1:30">
      <c r="A152" s="56" t="s"/>
      <c r="B152" s="56" t="s"/>
      <c r="C152" s="306" t="s"/>
      <c r="D152" s="307" t="s"/>
      <c r="E152" s="308" t="s"/>
      <c r="F152" s="56" t="s"/>
      <c r="G152" s="56" t="s"/>
      <c r="H152" s="56" t="s"/>
      <c r="I152" s="56" t="s"/>
      <c r="J152" s="56" t="s"/>
      <c r="K152" s="302" t="s"/>
      <c r="L152" s="303" t="s"/>
      <c r="M152" s="303" t="s"/>
      <c r="N152" s="56" t="s"/>
      <c r="O152" s="304" t="s"/>
      <c r="P152" s="297" t="s"/>
      <c r="Q152" s="305" t="s"/>
      <c r="R152" s="214" t="s"/>
      <c r="S152" s="214" t="s"/>
      <c r="T152" s="224" t="s"/>
      <c r="U152" s="224" t="s"/>
      <c r="V152" s="224" t="s"/>
      <c r="W152" s="224" t="s"/>
      <c r="X152" s="224" t="s"/>
      <c r="Y152" s="224" t="s"/>
      <c r="Z152" s="224" t="s"/>
      <c r="AA152" s="56" t="s"/>
      <c r="AB152" s="56" t="s"/>
      <c r="AC152" s="56" t="s"/>
      <c r="AD152" s="56" t="s"/>
    </row>
    <row r="153" spans="1:30">
      <c r="A153" s="56" t="s"/>
      <c r="B153" s="56" t="s"/>
      <c r="C153" s="306" t="s"/>
      <c r="D153" s="307" t="s"/>
      <c r="E153" s="308" t="s"/>
      <c r="F153" s="56" t="s"/>
      <c r="G153" s="56" t="s"/>
      <c r="H153" s="56" t="s"/>
      <c r="I153" s="56" t="s"/>
      <c r="J153" s="56" t="s"/>
      <c r="K153" s="302" t="s"/>
      <c r="L153" s="303" t="s"/>
      <c r="M153" s="303" t="s"/>
      <c r="N153" s="56" t="s"/>
      <c r="O153" s="304" t="s"/>
      <c r="P153" s="297" t="s"/>
      <c r="Q153" s="305" t="s"/>
      <c r="R153" s="214" t="s"/>
      <c r="S153" s="214" t="s"/>
      <c r="T153" s="224" t="s"/>
      <c r="U153" s="224" t="s"/>
      <c r="V153" s="224" t="s"/>
      <c r="W153" s="224" t="s"/>
      <c r="X153" s="224" t="s"/>
      <c r="Y153" s="224" t="s"/>
      <c r="Z153" s="224" t="s"/>
      <c r="AA153" s="56" t="s"/>
      <c r="AB153" s="56" t="s"/>
      <c r="AC153" s="56" t="s"/>
      <c r="AD153" s="56" t="s"/>
    </row>
    <row r="154" spans="1:30">
      <c r="A154" s="56" t="s"/>
      <c r="B154" s="56" t="s"/>
      <c r="C154" s="306" t="s"/>
      <c r="D154" s="307" t="s"/>
      <c r="E154" s="308" t="s"/>
      <c r="F154" s="56" t="s"/>
      <c r="G154" s="56" t="s"/>
      <c r="H154" s="56" t="s"/>
      <c r="I154" s="56" t="s"/>
      <c r="J154" s="56" t="s"/>
      <c r="K154" s="302" t="s"/>
      <c r="L154" s="303" t="s"/>
      <c r="M154" s="303" t="s"/>
      <c r="N154" s="56" t="s"/>
      <c r="O154" s="304" t="s"/>
      <c r="P154" s="297" t="s"/>
      <c r="Q154" s="305" t="s"/>
      <c r="R154" s="214" t="s"/>
      <c r="S154" s="214" t="s"/>
      <c r="T154" s="224" t="s"/>
      <c r="U154" s="224" t="s"/>
      <c r="V154" s="224" t="s"/>
      <c r="W154" s="224" t="s"/>
      <c r="X154" s="224" t="s"/>
      <c r="Y154" s="224" t="s"/>
      <c r="Z154" s="224" t="s"/>
      <c r="AA154" s="56" t="s"/>
      <c r="AB154" s="56" t="s"/>
      <c r="AC154" s="56" t="s"/>
      <c r="AD154" s="56" t="s"/>
    </row>
    <row r="155" spans="1:30">
      <c r="A155" s="56" t="s"/>
      <c r="B155" s="56" t="s"/>
      <c r="C155" s="306" t="s"/>
      <c r="D155" s="307" t="s"/>
      <c r="E155" s="308" t="s"/>
      <c r="F155" s="56" t="s"/>
      <c r="G155" s="56" t="s"/>
      <c r="H155" s="56" t="s"/>
      <c r="I155" s="56" t="s"/>
      <c r="J155" s="56" t="s"/>
      <c r="K155" s="302" t="s"/>
      <c r="L155" s="303" t="s"/>
      <c r="M155" s="303" t="s"/>
      <c r="N155" s="56" t="s"/>
      <c r="O155" s="304" t="s"/>
      <c r="P155" s="297" t="s"/>
      <c r="Q155" s="305" t="s"/>
      <c r="R155" s="214" t="s"/>
      <c r="S155" s="214" t="s"/>
      <c r="T155" s="224" t="s"/>
      <c r="U155" s="224" t="s"/>
      <c r="V155" s="224" t="s"/>
      <c r="W155" s="224" t="s"/>
      <c r="X155" s="224" t="s"/>
      <c r="Y155" s="224" t="s"/>
      <c r="Z155" s="224" t="s"/>
      <c r="AA155" s="56" t="s"/>
      <c r="AB155" s="56" t="s"/>
      <c r="AC155" s="56" t="s"/>
      <c r="AD155" s="56" t="s"/>
    </row>
    <row r="156" spans="1:30">
      <c r="A156" s="56" t="s"/>
      <c r="B156" s="56" t="s"/>
      <c r="C156" s="306" t="s"/>
      <c r="D156" s="307" t="s"/>
      <c r="E156" s="308" t="s"/>
      <c r="F156" s="56" t="s"/>
      <c r="G156" s="56" t="s"/>
      <c r="H156" s="56" t="s"/>
      <c r="I156" s="56" t="s"/>
      <c r="J156" s="56" t="s"/>
      <c r="K156" s="302" t="s"/>
      <c r="L156" s="303" t="s"/>
      <c r="M156" s="303" t="s"/>
      <c r="N156" s="56" t="s"/>
      <c r="O156" s="304" t="s"/>
      <c r="P156" s="297" t="s"/>
      <c r="Q156" s="305" t="s"/>
      <c r="R156" s="214" t="s"/>
      <c r="S156" s="214" t="s"/>
      <c r="T156" s="224" t="s"/>
      <c r="U156" s="224" t="s"/>
      <c r="V156" s="224" t="s"/>
      <c r="W156" s="224" t="s"/>
      <c r="X156" s="224" t="s"/>
      <c r="Y156" s="224" t="s"/>
      <c r="Z156" s="224" t="s"/>
      <c r="AA156" s="56" t="s"/>
      <c r="AB156" s="56" t="s"/>
      <c r="AC156" s="56" t="s"/>
      <c r="AD156" s="56" t="s"/>
    </row>
    <row r="157" spans="1:30">
      <c r="A157" s="56" t="s"/>
      <c r="B157" s="56" t="s"/>
      <c r="C157" s="306" t="s"/>
      <c r="D157" s="307" t="s"/>
      <c r="E157" s="308" t="s"/>
      <c r="F157" s="56" t="s"/>
      <c r="G157" s="56" t="s"/>
      <c r="H157" s="56" t="s"/>
      <c r="I157" s="56" t="s"/>
      <c r="J157" s="56" t="s"/>
      <c r="K157" s="302" t="s"/>
      <c r="L157" s="303" t="s"/>
      <c r="M157" s="303" t="s"/>
      <c r="N157" s="56" t="s"/>
      <c r="O157" s="304" t="s"/>
      <c r="P157" s="297" t="s"/>
      <c r="Q157" s="305" t="s"/>
      <c r="R157" s="214" t="s"/>
      <c r="S157" s="214" t="s"/>
      <c r="T157" s="224" t="s"/>
      <c r="U157" s="224" t="s"/>
      <c r="V157" s="224" t="s"/>
      <c r="W157" s="224" t="s"/>
      <c r="X157" s="224" t="s"/>
      <c r="Y157" s="224" t="s"/>
      <c r="Z157" s="224" t="s"/>
      <c r="AA157" s="56" t="s"/>
      <c r="AB157" s="56" t="s"/>
      <c r="AC157" s="56" t="s"/>
      <c r="AD157" s="56" t="s"/>
    </row>
    <row r="158" spans="1:30">
      <c r="A158" s="56" t="s"/>
      <c r="B158" s="56" t="s"/>
      <c r="C158" s="306" t="s"/>
      <c r="D158" s="307" t="s"/>
      <c r="E158" s="308" t="s"/>
      <c r="F158" s="56" t="s"/>
      <c r="G158" s="56" t="s"/>
      <c r="H158" s="56" t="s"/>
      <c r="I158" s="56" t="s"/>
      <c r="J158" s="56" t="s"/>
      <c r="K158" s="302" t="s"/>
      <c r="L158" s="303" t="s"/>
      <c r="M158" s="303" t="s"/>
      <c r="N158" s="56" t="s"/>
      <c r="O158" s="304" t="s"/>
      <c r="P158" s="297" t="s"/>
      <c r="Q158" s="305" t="s"/>
      <c r="R158" s="214" t="s"/>
      <c r="S158" s="214" t="s"/>
      <c r="T158" s="224" t="s"/>
      <c r="U158" s="224" t="s"/>
      <c r="V158" s="224" t="s"/>
      <c r="W158" s="224" t="s"/>
      <c r="X158" s="224" t="s"/>
      <c r="Y158" s="224" t="s"/>
      <c r="Z158" s="224" t="s"/>
      <c r="AA158" s="56" t="s"/>
      <c r="AB158" s="56" t="s"/>
      <c r="AC158" s="56" t="s"/>
      <c r="AD158" s="56" t="s"/>
    </row>
    <row r="159" spans="1:30">
      <c r="A159" s="56" t="s"/>
      <c r="B159" s="56" t="s"/>
      <c r="C159" s="306" t="s"/>
      <c r="D159" s="307" t="s"/>
      <c r="E159" s="308" t="s"/>
      <c r="F159" s="56" t="s"/>
      <c r="G159" s="56" t="s"/>
      <c r="H159" s="56" t="s"/>
      <c r="I159" s="56" t="s"/>
      <c r="J159" s="56" t="s"/>
      <c r="K159" s="302" t="s"/>
      <c r="L159" s="303" t="s"/>
      <c r="M159" s="303" t="s"/>
      <c r="N159" s="56" t="s"/>
      <c r="O159" s="304" t="s"/>
      <c r="P159" s="297" t="s"/>
      <c r="Q159" s="305" t="s"/>
      <c r="R159" s="214" t="s"/>
      <c r="S159" s="214" t="s"/>
      <c r="T159" s="224" t="s"/>
      <c r="U159" s="224" t="s"/>
      <c r="V159" s="224" t="s"/>
      <c r="W159" s="224" t="s"/>
      <c r="X159" s="224" t="s"/>
      <c r="Y159" s="224" t="s"/>
      <c r="Z159" s="224" t="s"/>
      <c r="AA159" s="56" t="s"/>
      <c r="AB159" s="56" t="s"/>
      <c r="AC159" s="56" t="s"/>
      <c r="AD159" s="56" t="s"/>
    </row>
    <row r="160" spans="1:30">
      <c r="A160" s="56" t="s"/>
      <c r="B160" s="56" t="s"/>
      <c r="C160" s="306" t="s"/>
      <c r="D160" s="307" t="s"/>
      <c r="E160" s="308" t="s"/>
      <c r="F160" s="56" t="s"/>
      <c r="G160" s="56" t="s"/>
      <c r="H160" s="56" t="s"/>
      <c r="I160" s="56" t="s"/>
      <c r="J160" s="56" t="s"/>
      <c r="K160" s="302" t="s"/>
      <c r="L160" s="303" t="s"/>
      <c r="M160" s="303" t="s"/>
      <c r="N160" s="56" t="s"/>
      <c r="O160" s="304" t="s"/>
      <c r="P160" s="297" t="s"/>
      <c r="Q160" s="305" t="s"/>
      <c r="R160" s="214" t="s"/>
      <c r="S160" s="214" t="s"/>
      <c r="T160" s="224" t="s"/>
      <c r="U160" s="224" t="s"/>
      <c r="V160" s="224" t="s"/>
      <c r="W160" s="224" t="s"/>
      <c r="X160" s="224" t="s"/>
      <c r="Y160" s="224" t="s"/>
      <c r="Z160" s="224" t="s"/>
      <c r="AA160" s="56" t="s"/>
      <c r="AB160" s="56" t="s"/>
      <c r="AC160" s="56" t="s"/>
      <c r="AD160" s="56" t="s"/>
    </row>
    <row r="161" spans="1:30">
      <c r="A161" s="56" t="s"/>
      <c r="B161" s="56" t="s"/>
      <c r="C161" s="306" t="s"/>
      <c r="D161" s="307" t="s"/>
      <c r="E161" s="308" t="s"/>
      <c r="F161" s="56" t="s"/>
      <c r="G161" s="56" t="s"/>
      <c r="H161" s="56" t="s"/>
      <c r="I161" s="56" t="s"/>
      <c r="J161" s="56" t="s"/>
      <c r="K161" s="302" t="s"/>
      <c r="L161" s="303" t="s"/>
      <c r="M161" s="303" t="s"/>
      <c r="N161" s="56" t="s"/>
      <c r="O161" s="304" t="s"/>
      <c r="P161" s="297" t="s"/>
      <c r="Q161" s="305" t="s"/>
      <c r="R161" s="214" t="s"/>
      <c r="S161" s="214" t="s"/>
      <c r="T161" s="224" t="s"/>
      <c r="U161" s="224" t="s"/>
      <c r="V161" s="224" t="s"/>
      <c r="W161" s="224" t="s"/>
      <c r="X161" s="224" t="s"/>
      <c r="Y161" s="224" t="s"/>
      <c r="Z161" s="224" t="s"/>
      <c r="AA161" s="56" t="s"/>
      <c r="AB161" s="56" t="s"/>
      <c r="AC161" s="56" t="s"/>
      <c r="AD161" s="56" t="s"/>
    </row>
    <row r="162" spans="1:30">
      <c r="A162" s="56" t="s"/>
      <c r="B162" s="56" t="s"/>
      <c r="C162" s="306" t="s"/>
      <c r="D162" s="307" t="s"/>
      <c r="E162" s="308" t="s"/>
      <c r="F162" s="56" t="s"/>
      <c r="G162" s="56" t="s"/>
      <c r="H162" s="56" t="s"/>
      <c r="I162" s="56" t="s"/>
      <c r="J162" s="56" t="s"/>
      <c r="K162" s="302" t="s"/>
      <c r="L162" s="303" t="s"/>
      <c r="M162" s="303" t="s"/>
      <c r="N162" s="56" t="s"/>
      <c r="O162" s="304" t="s"/>
      <c r="P162" s="297" t="s"/>
      <c r="Q162" s="305" t="s"/>
      <c r="R162" s="214" t="s"/>
      <c r="S162" s="214" t="s"/>
      <c r="T162" s="224" t="s"/>
      <c r="U162" s="224" t="s"/>
      <c r="V162" s="224" t="s"/>
      <c r="W162" s="224" t="s"/>
      <c r="X162" s="224" t="s"/>
      <c r="Y162" s="224" t="s"/>
      <c r="Z162" s="224" t="s"/>
      <c r="AA162" s="56" t="s"/>
      <c r="AB162" s="56" t="s"/>
      <c r="AC162" s="56" t="s"/>
      <c r="AD162" s="56" t="s"/>
    </row>
    <row r="163" spans="1:30">
      <c r="A163" s="56" t="s"/>
      <c r="B163" s="56" t="s"/>
      <c r="C163" s="306" t="s"/>
      <c r="D163" s="307" t="s"/>
      <c r="E163" s="308" t="s"/>
      <c r="F163" s="56" t="s"/>
      <c r="G163" s="56" t="s"/>
      <c r="H163" s="56" t="s"/>
      <c r="I163" s="56" t="s"/>
      <c r="J163" s="56" t="s"/>
      <c r="K163" s="302" t="s"/>
      <c r="L163" s="303" t="s"/>
      <c r="M163" s="303" t="s"/>
      <c r="N163" s="56" t="s"/>
      <c r="O163" s="304" t="s"/>
      <c r="P163" s="297" t="s"/>
      <c r="Q163" s="305" t="s"/>
      <c r="R163" s="214" t="s"/>
      <c r="S163" s="214" t="s"/>
      <c r="T163" s="224" t="s"/>
      <c r="U163" s="224" t="s"/>
      <c r="V163" s="224" t="s"/>
      <c r="W163" s="224" t="s"/>
      <c r="X163" s="224" t="s"/>
      <c r="Y163" s="224" t="s"/>
      <c r="Z163" s="224" t="s"/>
      <c r="AA163" s="56" t="s"/>
      <c r="AB163" s="56" t="s"/>
      <c r="AC163" s="56" t="s"/>
      <c r="AD163" s="56" t="s"/>
    </row>
    <row r="164" spans="1:30">
      <c r="A164" s="56" t="s"/>
      <c r="B164" s="56" t="s"/>
      <c r="C164" s="306" t="s"/>
      <c r="D164" s="307" t="s"/>
      <c r="E164" s="308" t="s"/>
      <c r="F164" s="56" t="s"/>
      <c r="G164" s="56" t="s"/>
      <c r="H164" s="56" t="s"/>
      <c r="I164" s="56" t="s"/>
      <c r="J164" s="56" t="s"/>
      <c r="K164" s="302" t="s"/>
      <c r="L164" s="303" t="s"/>
      <c r="M164" s="303" t="s"/>
      <c r="N164" s="56" t="s"/>
      <c r="O164" s="304" t="s"/>
      <c r="P164" s="297" t="s"/>
      <c r="Q164" s="305" t="s"/>
      <c r="R164" s="214" t="s"/>
      <c r="S164" s="214" t="s"/>
      <c r="T164" s="224" t="s"/>
      <c r="U164" s="224" t="s"/>
      <c r="V164" s="224" t="s"/>
      <c r="W164" s="224" t="s"/>
      <c r="X164" s="224" t="s"/>
      <c r="Y164" s="224" t="s"/>
      <c r="Z164" s="224" t="s"/>
      <c r="AA164" s="56" t="s"/>
      <c r="AB164" s="56" t="s"/>
      <c r="AC164" s="56" t="s"/>
      <c r="AD164" s="56" t="s"/>
    </row>
    <row r="165" spans="1:30">
      <c r="A165" s="56" t="s"/>
      <c r="B165" s="56" t="s"/>
      <c r="C165" s="306" t="s"/>
      <c r="D165" s="307" t="s"/>
      <c r="E165" s="308" t="s"/>
      <c r="F165" s="56" t="s"/>
      <c r="G165" s="56" t="s"/>
      <c r="H165" s="56" t="s"/>
      <c r="I165" s="56" t="s"/>
      <c r="J165" s="56" t="s"/>
      <c r="K165" s="302" t="s"/>
      <c r="L165" s="303" t="s"/>
      <c r="M165" s="303" t="s"/>
      <c r="N165" s="56" t="s"/>
      <c r="O165" s="304" t="s"/>
      <c r="P165" s="297" t="s"/>
      <c r="Q165" s="305" t="s"/>
      <c r="R165" s="214" t="s"/>
      <c r="S165" s="214" t="s"/>
      <c r="T165" s="224" t="s"/>
      <c r="U165" s="224" t="s"/>
      <c r="V165" s="224" t="s"/>
      <c r="W165" s="224" t="s"/>
      <c r="X165" s="224" t="s"/>
      <c r="Y165" s="224" t="s"/>
      <c r="Z165" s="224" t="s"/>
      <c r="AA165" s="56" t="s"/>
      <c r="AB165" s="56" t="s"/>
      <c r="AC165" s="56" t="s"/>
      <c r="AD165" s="56" t="s"/>
    </row>
    <row r="166" spans="1:30">
      <c r="A166" s="56" t="s"/>
      <c r="B166" s="56" t="s"/>
      <c r="C166" s="306" t="s"/>
      <c r="D166" s="307" t="s"/>
      <c r="E166" s="308" t="s"/>
      <c r="F166" s="56" t="s"/>
      <c r="G166" s="56" t="s"/>
      <c r="H166" s="56" t="s"/>
      <c r="I166" s="56" t="s"/>
      <c r="J166" s="56" t="s"/>
      <c r="K166" s="302" t="s"/>
      <c r="L166" s="303" t="s"/>
      <c r="M166" s="303" t="s"/>
      <c r="N166" s="56" t="s"/>
      <c r="O166" s="304" t="s"/>
      <c r="P166" s="297" t="s"/>
      <c r="Q166" s="305" t="s"/>
      <c r="R166" s="214" t="s"/>
      <c r="S166" s="214" t="s"/>
      <c r="T166" s="224" t="s"/>
      <c r="U166" s="224" t="s"/>
      <c r="V166" s="224" t="s"/>
      <c r="W166" s="224" t="s"/>
      <c r="X166" s="224" t="s"/>
      <c r="Y166" s="224" t="s"/>
      <c r="Z166" s="224" t="s"/>
      <c r="AA166" s="56" t="s"/>
      <c r="AB166" s="56" t="s"/>
      <c r="AC166" s="56" t="s"/>
      <c r="AD166" s="56" t="s"/>
    </row>
    <row r="167" spans="1:30">
      <c r="A167" s="56" t="s"/>
      <c r="B167" s="56" t="s"/>
      <c r="C167" s="306" t="s"/>
      <c r="D167" s="307" t="s"/>
      <c r="E167" s="308" t="s"/>
      <c r="F167" s="56" t="s"/>
      <c r="G167" s="56" t="s"/>
      <c r="H167" s="56" t="s"/>
      <c r="I167" s="56" t="s"/>
      <c r="J167" s="56" t="s"/>
      <c r="K167" s="302" t="s"/>
      <c r="L167" s="303" t="s"/>
      <c r="M167" s="303" t="s"/>
      <c r="N167" s="56" t="s"/>
      <c r="O167" s="304" t="s"/>
      <c r="P167" s="297" t="s"/>
      <c r="Q167" s="305" t="s"/>
      <c r="R167" s="214" t="s"/>
      <c r="S167" s="214" t="s"/>
      <c r="T167" s="224" t="s"/>
      <c r="U167" s="224" t="s"/>
      <c r="V167" s="224" t="s"/>
      <c r="W167" s="224" t="s"/>
      <c r="X167" s="224" t="s"/>
      <c r="Y167" s="224" t="s"/>
      <c r="Z167" s="224" t="s"/>
      <c r="AA167" s="56" t="s"/>
      <c r="AB167" s="56" t="s"/>
      <c r="AC167" s="56" t="s"/>
      <c r="AD167" s="56" t="s"/>
    </row>
    <row r="168" spans="1:30">
      <c r="A168" s="56" t="s"/>
      <c r="B168" s="56" t="s"/>
      <c r="C168" s="306" t="s"/>
      <c r="D168" s="307" t="s"/>
      <c r="E168" s="308" t="s"/>
      <c r="F168" s="56" t="s"/>
      <c r="G168" s="56" t="s"/>
      <c r="H168" s="56" t="s"/>
      <c r="I168" s="56" t="s"/>
      <c r="J168" s="56" t="s"/>
      <c r="K168" s="302" t="s"/>
      <c r="L168" s="303" t="s"/>
      <c r="M168" s="303" t="s"/>
      <c r="N168" s="56" t="s"/>
      <c r="O168" s="304" t="s"/>
      <c r="P168" s="297" t="s"/>
      <c r="Q168" s="305" t="s"/>
      <c r="R168" s="214" t="s"/>
      <c r="S168" s="214" t="s"/>
      <c r="T168" s="224" t="s"/>
      <c r="U168" s="224" t="s"/>
      <c r="V168" s="224" t="s"/>
      <c r="W168" s="224" t="s"/>
      <c r="X168" s="224" t="s"/>
      <c r="Y168" s="224" t="s"/>
      <c r="Z168" s="224" t="s"/>
      <c r="AA168" s="56" t="s"/>
      <c r="AB168" s="56" t="s"/>
      <c r="AC168" s="56" t="s"/>
      <c r="AD168" s="56" t="s"/>
    </row>
    <row r="169" spans="1:30">
      <c r="A169" s="56" t="s"/>
      <c r="B169" s="56" t="s"/>
      <c r="C169" s="306" t="s"/>
      <c r="D169" s="307" t="s"/>
      <c r="E169" s="308" t="s"/>
      <c r="F169" s="56" t="s"/>
      <c r="G169" s="56" t="s"/>
      <c r="H169" s="56" t="s"/>
      <c r="I169" s="56" t="s"/>
      <c r="J169" s="56" t="s"/>
      <c r="K169" s="302" t="s"/>
      <c r="L169" s="303" t="s"/>
      <c r="M169" s="303" t="s"/>
      <c r="N169" s="56" t="s"/>
      <c r="O169" s="304" t="s"/>
      <c r="P169" s="297" t="s"/>
      <c r="Q169" s="305" t="s"/>
      <c r="R169" s="214" t="s"/>
      <c r="S169" s="214" t="s"/>
      <c r="T169" s="224" t="s"/>
      <c r="U169" s="224" t="s"/>
      <c r="V169" s="224" t="s"/>
      <c r="W169" s="224" t="s"/>
      <c r="X169" s="224" t="s"/>
      <c r="Y169" s="224" t="s"/>
      <c r="Z169" s="224" t="s"/>
      <c r="AA169" s="56" t="s"/>
      <c r="AB169" s="56" t="s"/>
      <c r="AC169" s="56" t="s"/>
      <c r="AD169" s="56" t="s"/>
    </row>
    <row r="170" spans="1:30">
      <c r="A170" s="56" t="s"/>
      <c r="B170" s="56" t="s"/>
      <c r="C170" s="306" t="s"/>
      <c r="D170" s="307" t="s"/>
      <c r="E170" s="308" t="s"/>
      <c r="F170" s="56" t="s"/>
      <c r="G170" s="56" t="s"/>
      <c r="H170" s="56" t="s"/>
      <c r="I170" s="56" t="s"/>
      <c r="J170" s="56" t="s"/>
      <c r="K170" s="302" t="s"/>
      <c r="L170" s="303" t="s"/>
      <c r="M170" s="303" t="s"/>
      <c r="N170" s="56" t="s"/>
      <c r="O170" s="304" t="s"/>
      <c r="P170" s="297" t="s"/>
      <c r="Q170" s="305" t="s"/>
      <c r="R170" s="214" t="s"/>
      <c r="S170" s="214" t="s"/>
      <c r="T170" s="224" t="s"/>
      <c r="U170" s="224" t="s"/>
      <c r="V170" s="224" t="s"/>
      <c r="W170" s="224" t="s"/>
      <c r="X170" s="224" t="s"/>
      <c r="Y170" s="224" t="s"/>
      <c r="Z170" s="224" t="s"/>
      <c r="AA170" s="56" t="s"/>
      <c r="AB170" s="56" t="s"/>
      <c r="AC170" s="56" t="s"/>
      <c r="AD170" s="56" t="s"/>
    </row>
    <row r="171" spans="1:30">
      <c r="A171" s="56" t="s"/>
      <c r="B171" s="56" t="s"/>
      <c r="C171" s="306" t="s"/>
      <c r="D171" s="307" t="s"/>
      <c r="E171" s="308" t="s"/>
      <c r="F171" s="56" t="s"/>
      <c r="G171" s="56" t="s"/>
      <c r="H171" s="56" t="s"/>
      <c r="I171" s="56" t="s"/>
      <c r="J171" s="56" t="s"/>
      <c r="K171" s="302" t="s"/>
      <c r="L171" s="303" t="s"/>
      <c r="M171" s="303" t="s"/>
      <c r="N171" s="56" t="s"/>
      <c r="O171" s="304" t="s"/>
      <c r="P171" s="297" t="s"/>
      <c r="Q171" s="305" t="s"/>
      <c r="R171" s="214" t="s"/>
      <c r="S171" s="214" t="s"/>
      <c r="T171" s="224" t="s"/>
      <c r="U171" s="224" t="s"/>
      <c r="V171" s="224" t="s"/>
      <c r="W171" s="224" t="s"/>
      <c r="X171" s="224" t="s"/>
      <c r="Y171" s="224" t="s"/>
      <c r="Z171" s="224" t="s"/>
      <c r="AA171" s="56" t="s"/>
      <c r="AB171" s="56" t="s"/>
      <c r="AC171" s="56" t="s"/>
      <c r="AD171" s="56" t="s"/>
    </row>
    <row r="172" spans="1:30">
      <c r="A172" s="56" t="s"/>
      <c r="B172" s="56" t="s"/>
      <c r="C172" s="306" t="s"/>
      <c r="D172" s="307" t="s"/>
      <c r="E172" s="308" t="s"/>
      <c r="F172" s="56" t="s"/>
      <c r="G172" s="56" t="s"/>
      <c r="H172" s="56" t="s"/>
      <c r="I172" s="56" t="s"/>
      <c r="J172" s="56" t="s"/>
      <c r="K172" s="302" t="s"/>
      <c r="L172" s="303" t="s"/>
      <c r="M172" s="303" t="s"/>
      <c r="N172" s="56" t="s"/>
      <c r="O172" s="304" t="s"/>
      <c r="P172" s="297" t="s"/>
      <c r="Q172" s="305" t="s"/>
      <c r="R172" s="214" t="s"/>
      <c r="S172" s="214" t="s"/>
      <c r="T172" s="224" t="s"/>
      <c r="U172" s="224" t="s"/>
      <c r="V172" s="224" t="s"/>
      <c r="W172" s="224" t="s"/>
      <c r="X172" s="224" t="s"/>
      <c r="Y172" s="224" t="s"/>
      <c r="Z172" s="224" t="s"/>
      <c r="AA172" s="56" t="s"/>
      <c r="AB172" s="56" t="s"/>
      <c r="AC172" s="56" t="s"/>
      <c r="AD172" s="56" t="s"/>
    </row>
    <row r="173" spans="1:30">
      <c r="A173" s="56" t="s"/>
      <c r="B173" s="56" t="s"/>
      <c r="C173" s="306" t="s"/>
      <c r="D173" s="307" t="s"/>
      <c r="E173" s="308" t="s"/>
      <c r="F173" s="56" t="s"/>
      <c r="G173" s="56" t="s"/>
      <c r="H173" s="56" t="s"/>
      <c r="I173" s="56" t="s"/>
      <c r="J173" s="56" t="s"/>
      <c r="K173" s="302" t="s"/>
      <c r="L173" s="303" t="s"/>
      <c r="M173" s="303" t="s"/>
      <c r="N173" s="56" t="s"/>
      <c r="O173" s="304" t="s"/>
      <c r="P173" s="297" t="s"/>
      <c r="Q173" s="305" t="s"/>
      <c r="R173" s="214" t="s"/>
      <c r="S173" s="214" t="s"/>
      <c r="T173" s="224" t="s"/>
      <c r="U173" s="224" t="s"/>
      <c r="V173" s="224" t="s"/>
      <c r="W173" s="224" t="s"/>
      <c r="X173" s="224" t="s"/>
      <c r="Y173" s="224" t="s"/>
      <c r="Z173" s="224" t="s"/>
      <c r="AA173" s="56" t="s"/>
      <c r="AB173" s="56" t="s"/>
      <c r="AC173" s="56" t="s"/>
      <c r="AD173" s="56" t="s"/>
    </row>
    <row r="174" spans="1:30">
      <c r="A174" s="56" t="s"/>
      <c r="B174" s="56" t="s"/>
      <c r="C174" s="306" t="s"/>
      <c r="D174" s="307" t="s"/>
      <c r="E174" s="308" t="s"/>
      <c r="F174" s="56" t="s"/>
      <c r="G174" s="56" t="s"/>
      <c r="H174" s="56" t="s"/>
      <c r="I174" s="56" t="s"/>
      <c r="J174" s="56" t="s"/>
      <c r="K174" s="302" t="s"/>
      <c r="L174" s="303" t="s"/>
      <c r="M174" s="303" t="s"/>
      <c r="N174" s="56" t="s"/>
      <c r="O174" s="304" t="s"/>
      <c r="P174" s="297" t="s"/>
      <c r="Q174" s="305" t="s"/>
      <c r="R174" s="214" t="s"/>
      <c r="S174" s="214" t="s"/>
      <c r="T174" s="224" t="s"/>
      <c r="U174" s="224" t="s"/>
      <c r="V174" s="224" t="s"/>
      <c r="W174" s="224" t="s"/>
      <c r="X174" s="224" t="s"/>
      <c r="Y174" s="224" t="s"/>
      <c r="Z174" s="224" t="s"/>
      <c r="AA174" s="56" t="s"/>
      <c r="AB174" s="56" t="s"/>
      <c r="AC174" s="56" t="s"/>
      <c r="AD174" s="56" t="s"/>
    </row>
    <row r="175" spans="1:30">
      <c r="A175" s="56" t="s"/>
      <c r="B175" s="56" t="s"/>
      <c r="C175" s="306" t="s"/>
      <c r="D175" s="307" t="s"/>
      <c r="E175" s="308" t="s"/>
      <c r="F175" s="56" t="s"/>
      <c r="G175" s="56" t="s"/>
      <c r="H175" s="56" t="s"/>
      <c r="I175" s="56" t="s"/>
      <c r="J175" s="56" t="s"/>
      <c r="K175" s="302" t="s"/>
      <c r="L175" s="303" t="s"/>
      <c r="M175" s="303" t="s"/>
      <c r="N175" s="56" t="s"/>
      <c r="O175" s="304" t="s"/>
      <c r="P175" s="297" t="s"/>
      <c r="Q175" s="305" t="s"/>
      <c r="R175" s="214" t="s"/>
      <c r="S175" s="214" t="s"/>
      <c r="T175" s="224" t="s"/>
      <c r="U175" s="224" t="s"/>
      <c r="V175" s="224" t="s"/>
      <c r="W175" s="224" t="s"/>
      <c r="X175" s="224" t="s"/>
      <c r="Y175" s="224" t="s"/>
      <c r="Z175" s="224" t="s"/>
      <c r="AA175" s="56" t="s"/>
      <c r="AB175" s="56" t="s"/>
      <c r="AC175" s="56" t="s"/>
      <c r="AD175" s="56" t="s"/>
    </row>
    <row r="176" spans="1:30">
      <c r="A176" s="56" t="s"/>
      <c r="B176" s="56" t="s"/>
      <c r="C176" s="306" t="s"/>
      <c r="D176" s="307" t="s"/>
      <c r="E176" s="308" t="s"/>
      <c r="F176" s="56" t="s"/>
      <c r="G176" s="56" t="s"/>
      <c r="H176" s="56" t="s"/>
      <c r="I176" s="56" t="s"/>
      <c r="J176" s="56" t="s"/>
      <c r="K176" s="302" t="s"/>
      <c r="L176" s="303" t="s"/>
      <c r="M176" s="303" t="s"/>
      <c r="N176" s="56" t="s"/>
      <c r="O176" s="304" t="s"/>
      <c r="P176" s="297" t="s"/>
      <c r="Q176" s="305" t="s"/>
      <c r="R176" s="214" t="s"/>
      <c r="S176" s="214" t="s"/>
      <c r="T176" s="224" t="s"/>
      <c r="U176" s="224" t="s"/>
      <c r="V176" s="224" t="s"/>
      <c r="W176" s="224" t="s"/>
      <c r="X176" s="224" t="s"/>
      <c r="Y176" s="224" t="s"/>
      <c r="Z176" s="224" t="s"/>
      <c r="AA176" s="56" t="s"/>
      <c r="AB176" s="56" t="s"/>
      <c r="AC176" s="56" t="s"/>
      <c r="AD176" s="56" t="s"/>
    </row>
    <row r="177" spans="1:30">
      <c r="A177" s="56" t="s"/>
      <c r="B177" s="56" t="s"/>
      <c r="C177" s="306" t="s"/>
      <c r="D177" s="307" t="s"/>
      <c r="E177" s="308" t="s"/>
      <c r="F177" s="56" t="s"/>
      <c r="G177" s="56" t="s"/>
      <c r="H177" s="56" t="s"/>
      <c r="I177" s="56" t="s"/>
      <c r="J177" s="56" t="s"/>
      <c r="K177" s="302" t="s"/>
      <c r="L177" s="303" t="s"/>
      <c r="M177" s="303" t="s"/>
      <c r="N177" s="56" t="s"/>
      <c r="O177" s="304" t="s"/>
      <c r="P177" s="297" t="s"/>
      <c r="Q177" s="305" t="s"/>
      <c r="R177" s="214" t="s"/>
      <c r="S177" s="214" t="s"/>
      <c r="T177" s="224" t="s"/>
      <c r="U177" s="224" t="s"/>
      <c r="V177" s="224" t="s"/>
      <c r="W177" s="224" t="s"/>
      <c r="X177" s="224" t="s"/>
      <c r="Y177" s="224" t="s"/>
      <c r="Z177" s="224" t="s"/>
      <c r="AA177" s="56" t="s"/>
      <c r="AB177" s="56" t="s"/>
      <c r="AC177" s="56" t="s"/>
      <c r="AD177" s="56" t="s"/>
    </row>
    <row r="178" spans="1:30">
      <c r="A178" s="56" t="s"/>
      <c r="B178" s="56" t="s"/>
      <c r="C178" s="306" t="s"/>
      <c r="D178" s="307" t="s"/>
      <c r="E178" s="308" t="s"/>
      <c r="F178" s="56" t="s"/>
      <c r="G178" s="56" t="s"/>
      <c r="H178" s="56" t="s"/>
      <c r="I178" s="56" t="s"/>
      <c r="J178" s="56" t="s"/>
      <c r="K178" s="302" t="s"/>
      <c r="L178" s="303" t="s"/>
      <c r="M178" s="303" t="s"/>
      <c r="N178" s="56" t="s"/>
      <c r="O178" s="304" t="s"/>
      <c r="P178" s="297" t="s"/>
      <c r="Q178" s="305" t="s"/>
      <c r="R178" s="214" t="s"/>
      <c r="S178" s="214" t="s"/>
      <c r="T178" s="224" t="s"/>
      <c r="U178" s="224" t="s"/>
      <c r="V178" s="224" t="s"/>
      <c r="W178" s="224" t="s"/>
      <c r="X178" s="224" t="s"/>
      <c r="Y178" s="224" t="s"/>
      <c r="Z178" s="224" t="s"/>
      <c r="AA178" s="56" t="s"/>
      <c r="AB178" s="56" t="s"/>
      <c r="AC178" s="56" t="s"/>
      <c r="AD178" s="56" t="s"/>
    </row>
    <row r="179" spans="1:30">
      <c r="A179" s="56" t="s"/>
      <c r="B179" s="56" t="s"/>
      <c r="C179" s="306" t="s"/>
      <c r="D179" s="307" t="s"/>
      <c r="E179" s="308" t="s"/>
      <c r="F179" s="56" t="s"/>
      <c r="G179" s="56" t="s"/>
      <c r="H179" s="56" t="s"/>
      <c r="I179" s="56" t="s"/>
      <c r="J179" s="56" t="s"/>
      <c r="K179" s="302" t="s"/>
      <c r="L179" s="303" t="s"/>
      <c r="M179" s="303" t="s"/>
      <c r="N179" s="56" t="s"/>
      <c r="O179" s="304" t="s"/>
      <c r="P179" s="297" t="s"/>
      <c r="Q179" s="305" t="s"/>
      <c r="R179" s="214" t="s"/>
      <c r="S179" s="214" t="s"/>
      <c r="T179" s="224" t="s"/>
      <c r="U179" s="224" t="s"/>
      <c r="V179" s="224" t="s"/>
      <c r="W179" s="224" t="s"/>
      <c r="X179" s="224" t="s"/>
      <c r="Y179" s="224" t="s"/>
      <c r="Z179" s="224" t="s"/>
      <c r="AA179" s="56" t="s"/>
      <c r="AB179" s="56" t="s"/>
      <c r="AC179" s="56" t="s"/>
      <c r="AD179" s="56" t="s"/>
    </row>
    <row r="180" spans="1:30">
      <c r="A180" s="56" t="s"/>
      <c r="B180" s="56" t="s"/>
      <c r="C180" s="306" t="s"/>
      <c r="D180" s="307" t="s"/>
      <c r="E180" s="308" t="s"/>
      <c r="F180" s="56" t="s"/>
      <c r="G180" s="56" t="s"/>
      <c r="H180" s="56" t="s"/>
      <c r="I180" s="56" t="s"/>
      <c r="J180" s="56" t="s"/>
      <c r="K180" s="302" t="s"/>
      <c r="L180" s="303" t="s"/>
      <c r="M180" s="303" t="s"/>
      <c r="N180" s="56" t="s"/>
      <c r="O180" s="304" t="s"/>
      <c r="P180" s="297" t="s"/>
      <c r="Q180" s="305" t="s"/>
      <c r="R180" s="214" t="s"/>
      <c r="S180" s="214" t="s"/>
      <c r="T180" s="224" t="s"/>
      <c r="U180" s="224" t="s"/>
      <c r="V180" s="224" t="s"/>
      <c r="W180" s="224" t="s"/>
      <c r="X180" s="224" t="s"/>
      <c r="Y180" s="224" t="s"/>
      <c r="Z180" s="224" t="s"/>
      <c r="AA180" s="56" t="s"/>
      <c r="AB180" s="56" t="s"/>
      <c r="AC180" s="56" t="s"/>
      <c r="AD180" s="56" t="s"/>
    </row>
    <row r="181" spans="1:30">
      <c r="A181" s="56" t="s"/>
      <c r="B181" s="56" t="s"/>
      <c r="C181" s="306" t="s"/>
      <c r="D181" s="307" t="s"/>
      <c r="E181" s="308" t="s"/>
      <c r="F181" s="56" t="s"/>
      <c r="G181" s="56" t="s"/>
      <c r="H181" s="56" t="s"/>
      <c r="I181" s="56" t="s"/>
      <c r="J181" s="56" t="s"/>
      <c r="K181" s="302" t="s"/>
      <c r="L181" s="303" t="s"/>
      <c r="M181" s="303" t="s"/>
      <c r="N181" s="56" t="s"/>
      <c r="O181" s="304" t="s"/>
      <c r="P181" s="297" t="s"/>
      <c r="Q181" s="305" t="s"/>
      <c r="R181" s="214" t="s"/>
      <c r="S181" s="214" t="s"/>
      <c r="T181" s="224" t="s"/>
      <c r="U181" s="224" t="s"/>
      <c r="V181" s="224" t="s"/>
      <c r="W181" s="224" t="s"/>
      <c r="X181" s="224" t="s"/>
      <c r="Y181" s="224" t="s"/>
      <c r="Z181" s="224" t="s"/>
      <c r="AA181" s="56" t="s"/>
      <c r="AB181" s="56" t="s"/>
      <c r="AC181" s="56" t="s"/>
      <c r="AD181" s="56" t="s"/>
    </row>
    <row r="182" spans="1:30">
      <c r="A182" s="56" t="s"/>
      <c r="B182" s="56" t="s"/>
      <c r="C182" s="306" t="s"/>
      <c r="D182" s="307" t="s"/>
      <c r="E182" s="308" t="s"/>
      <c r="F182" s="56" t="s"/>
      <c r="G182" s="56" t="s"/>
      <c r="H182" s="56" t="s"/>
      <c r="I182" s="56" t="s"/>
      <c r="J182" s="56" t="s"/>
      <c r="K182" s="302" t="s"/>
      <c r="L182" s="303" t="s"/>
      <c r="M182" s="303" t="s"/>
      <c r="N182" s="56" t="s"/>
      <c r="O182" s="304" t="s"/>
      <c r="P182" s="297" t="s"/>
      <c r="Q182" s="305" t="s"/>
      <c r="R182" s="214" t="s"/>
      <c r="S182" s="214" t="s"/>
      <c r="T182" s="224" t="s"/>
      <c r="U182" s="224" t="s"/>
      <c r="V182" s="224" t="s"/>
      <c r="W182" s="224" t="s"/>
      <c r="X182" s="224" t="s"/>
      <c r="Y182" s="224" t="s"/>
      <c r="Z182" s="224" t="s"/>
      <c r="AA182" s="56" t="s"/>
      <c r="AB182" s="56" t="s"/>
      <c r="AC182" s="56" t="s"/>
      <c r="AD182" s="56" t="s"/>
    </row>
    <row r="183" spans="1:30">
      <c r="A183" s="56" t="s"/>
      <c r="B183" s="56" t="s"/>
      <c r="C183" s="306" t="s"/>
      <c r="D183" s="307" t="s"/>
      <c r="E183" s="308" t="s"/>
      <c r="F183" s="56" t="s"/>
      <c r="G183" s="56" t="s"/>
      <c r="H183" s="56" t="s"/>
      <c r="I183" s="56" t="s"/>
      <c r="J183" s="56" t="s"/>
      <c r="K183" s="302" t="s"/>
      <c r="L183" s="303" t="s"/>
      <c r="M183" s="303" t="s"/>
      <c r="N183" s="56" t="s"/>
      <c r="O183" s="304" t="s"/>
      <c r="P183" s="297" t="s"/>
      <c r="Q183" s="305" t="s"/>
      <c r="R183" s="214" t="s"/>
      <c r="S183" s="214" t="s"/>
      <c r="T183" s="224" t="s"/>
      <c r="U183" s="224" t="s"/>
      <c r="V183" s="224" t="s"/>
      <c r="W183" s="224" t="s"/>
      <c r="X183" s="224" t="s"/>
      <c r="Y183" s="224" t="s"/>
      <c r="Z183" s="224" t="s"/>
      <c r="AA183" s="56" t="s"/>
      <c r="AB183" s="56" t="s"/>
      <c r="AC183" s="56" t="s"/>
      <c r="AD183" s="56" t="s"/>
    </row>
    <row r="184" spans="1:30">
      <c r="A184" s="56" t="s"/>
      <c r="B184" s="56" t="s"/>
      <c r="C184" s="306" t="s"/>
      <c r="D184" s="307" t="s"/>
      <c r="E184" s="308" t="s"/>
      <c r="F184" s="56" t="s"/>
      <c r="G184" s="56" t="s"/>
      <c r="H184" s="56" t="s"/>
      <c r="I184" s="56" t="s"/>
      <c r="J184" s="56" t="s"/>
      <c r="K184" s="302" t="s"/>
      <c r="L184" s="303" t="s"/>
      <c r="M184" s="303" t="s"/>
      <c r="N184" s="56" t="s"/>
      <c r="O184" s="304" t="s"/>
      <c r="P184" s="297" t="s"/>
      <c r="Q184" s="305" t="s"/>
      <c r="R184" s="214" t="s"/>
      <c r="S184" s="214" t="s"/>
      <c r="T184" s="224" t="s"/>
      <c r="U184" s="224" t="s"/>
      <c r="V184" s="224" t="s"/>
      <c r="W184" s="224" t="s"/>
      <c r="X184" s="224" t="s"/>
      <c r="Y184" s="224" t="s"/>
      <c r="Z184" s="224" t="s"/>
      <c r="AA184" s="56" t="s"/>
      <c r="AB184" s="56" t="s"/>
      <c r="AC184" s="56" t="s"/>
      <c r="AD184" s="56" t="s"/>
    </row>
    <row r="185" spans="1:30">
      <c r="A185" s="56" t="s"/>
      <c r="B185" s="56" t="s"/>
      <c r="C185" s="306" t="s"/>
      <c r="D185" s="307" t="s"/>
      <c r="E185" s="308" t="s"/>
      <c r="F185" s="56" t="s"/>
      <c r="G185" s="56" t="s"/>
      <c r="H185" s="56" t="s"/>
      <c r="I185" s="56" t="s"/>
      <c r="J185" s="56" t="s"/>
      <c r="K185" s="302" t="s"/>
      <c r="L185" s="303" t="s"/>
      <c r="M185" s="303" t="s"/>
      <c r="N185" s="56" t="s"/>
      <c r="O185" s="304" t="s"/>
      <c r="P185" s="297" t="s"/>
      <c r="Q185" s="305" t="s"/>
      <c r="R185" s="214" t="s"/>
      <c r="S185" s="214" t="s"/>
      <c r="T185" s="224" t="s"/>
      <c r="U185" s="224" t="s"/>
      <c r="V185" s="224" t="s"/>
      <c r="W185" s="224" t="s"/>
      <c r="X185" s="224" t="s"/>
      <c r="Y185" s="224" t="s"/>
      <c r="Z185" s="224" t="s"/>
      <c r="AA185" s="56" t="s"/>
      <c r="AB185" s="56" t="s"/>
      <c r="AC185" s="56" t="s"/>
      <c r="AD185" s="56" t="s"/>
    </row>
    <row r="186" spans="1:30">
      <c r="A186" s="56" t="s"/>
      <c r="B186" s="56" t="s"/>
      <c r="C186" s="306" t="s"/>
      <c r="D186" s="307" t="s"/>
      <c r="E186" s="308" t="s"/>
      <c r="F186" s="56" t="s"/>
      <c r="G186" s="56" t="s"/>
      <c r="H186" s="56" t="s"/>
      <c r="I186" s="56" t="s"/>
      <c r="J186" s="56" t="s"/>
      <c r="K186" s="302" t="s"/>
      <c r="L186" s="303" t="s"/>
      <c r="M186" s="303" t="s"/>
      <c r="N186" s="56" t="s"/>
      <c r="O186" s="304" t="s"/>
      <c r="P186" s="297" t="s"/>
      <c r="Q186" s="305" t="s"/>
      <c r="R186" s="214" t="s"/>
      <c r="S186" s="214" t="s"/>
      <c r="T186" s="224" t="s"/>
      <c r="U186" s="224" t="s"/>
      <c r="V186" s="224" t="s"/>
      <c r="W186" s="224" t="s"/>
      <c r="X186" s="224" t="s"/>
      <c r="Y186" s="224" t="s"/>
      <c r="Z186" s="224" t="s"/>
      <c r="AA186" s="56" t="s"/>
      <c r="AB186" s="56" t="s"/>
      <c r="AC186" s="56" t="s"/>
      <c r="AD186" s="56" t="s"/>
    </row>
    <row r="187" spans="1:30">
      <c r="A187" s="56" t="s"/>
      <c r="B187" s="56" t="s"/>
      <c r="C187" s="306" t="s"/>
      <c r="D187" s="307" t="s"/>
      <c r="E187" s="308" t="s"/>
      <c r="F187" s="56" t="s"/>
      <c r="G187" s="56" t="s"/>
      <c r="H187" s="56" t="s"/>
      <c r="I187" s="56" t="s"/>
      <c r="J187" s="56" t="s"/>
      <c r="K187" s="302" t="s"/>
      <c r="L187" s="303" t="s"/>
      <c r="M187" s="303" t="s"/>
      <c r="N187" s="56" t="s"/>
      <c r="O187" s="304" t="s"/>
      <c r="P187" s="297" t="s"/>
      <c r="Q187" s="305" t="s"/>
      <c r="R187" s="214" t="s"/>
      <c r="S187" s="214" t="s"/>
      <c r="T187" s="224" t="s"/>
      <c r="U187" s="224" t="s"/>
      <c r="V187" s="224" t="s"/>
      <c r="W187" s="224" t="s"/>
      <c r="X187" s="224" t="s"/>
      <c r="Y187" s="224" t="s"/>
      <c r="Z187" s="224" t="s"/>
      <c r="AA187" s="56" t="s"/>
      <c r="AB187" s="56" t="s"/>
      <c r="AC187" s="56" t="s"/>
      <c r="AD187" s="56" t="s"/>
    </row>
    <row r="188" spans="1:30">
      <c r="A188" s="56" t="s"/>
      <c r="B188" s="56" t="s"/>
      <c r="C188" s="306" t="s"/>
      <c r="D188" s="307" t="s"/>
      <c r="E188" s="308" t="s"/>
      <c r="F188" s="56" t="s"/>
      <c r="G188" s="56" t="s"/>
      <c r="H188" s="56" t="s"/>
      <c r="I188" s="56" t="s"/>
      <c r="J188" s="56" t="s"/>
      <c r="K188" s="302" t="s"/>
      <c r="L188" s="303" t="s"/>
      <c r="M188" s="303" t="s"/>
      <c r="N188" s="56" t="s"/>
      <c r="O188" s="304" t="s"/>
      <c r="P188" s="297" t="s"/>
      <c r="Q188" s="305" t="s"/>
      <c r="R188" s="214" t="s"/>
      <c r="S188" s="214" t="s"/>
      <c r="T188" s="224" t="s"/>
      <c r="U188" s="224" t="s"/>
      <c r="V188" s="224" t="s"/>
      <c r="W188" s="224" t="s"/>
      <c r="X188" s="224" t="s"/>
      <c r="Y188" s="224" t="s"/>
      <c r="Z188" s="224" t="s"/>
      <c r="AA188" s="56" t="s"/>
      <c r="AB188" s="56" t="s"/>
      <c r="AC188" s="56" t="s"/>
      <c r="AD188" s="56" t="s"/>
    </row>
    <row r="189" spans="1:30">
      <c r="A189" s="56" t="s"/>
      <c r="B189" s="56" t="s"/>
      <c r="C189" s="306" t="s"/>
      <c r="D189" s="307" t="s"/>
      <c r="E189" s="308" t="s"/>
      <c r="F189" s="56" t="s"/>
      <c r="G189" s="56" t="s"/>
      <c r="H189" s="56" t="s"/>
      <c r="I189" s="56" t="s"/>
      <c r="J189" s="56" t="s"/>
      <c r="K189" s="302" t="s"/>
      <c r="L189" s="303" t="s"/>
      <c r="M189" s="303" t="s"/>
      <c r="N189" s="56" t="s"/>
      <c r="O189" s="304" t="s"/>
      <c r="P189" s="297" t="s"/>
      <c r="Q189" s="305" t="s"/>
      <c r="R189" s="214" t="s"/>
      <c r="S189" s="214" t="s"/>
      <c r="T189" s="224" t="s"/>
      <c r="U189" s="224" t="s"/>
      <c r="V189" s="224" t="s"/>
      <c r="W189" s="224" t="s"/>
      <c r="X189" s="224" t="s"/>
      <c r="Y189" s="224" t="s"/>
      <c r="Z189" s="224" t="s"/>
      <c r="AA189" s="56" t="s"/>
      <c r="AB189" s="56" t="s"/>
      <c r="AC189" s="56" t="s"/>
      <c r="AD189" s="56" t="s"/>
    </row>
    <row r="190" spans="1:30">
      <c r="A190" s="56" t="s"/>
      <c r="B190" s="56" t="s"/>
      <c r="C190" s="306" t="s"/>
      <c r="D190" s="307" t="s"/>
      <c r="E190" s="308" t="s"/>
      <c r="F190" s="56" t="s"/>
      <c r="G190" s="56" t="s"/>
      <c r="H190" s="56" t="s"/>
      <c r="I190" s="56" t="s"/>
      <c r="J190" s="56" t="s"/>
      <c r="K190" s="302" t="s"/>
      <c r="L190" s="303" t="s"/>
      <c r="M190" s="303" t="s"/>
      <c r="N190" s="56" t="s"/>
      <c r="O190" s="304" t="s"/>
      <c r="P190" s="297" t="s"/>
      <c r="Q190" s="305" t="s"/>
      <c r="R190" s="214" t="s"/>
      <c r="S190" s="214" t="s"/>
      <c r="T190" s="224" t="s"/>
      <c r="U190" s="224" t="s"/>
      <c r="V190" s="224" t="s"/>
      <c r="W190" s="224" t="s"/>
      <c r="X190" s="224" t="s"/>
      <c r="Y190" s="224" t="s"/>
      <c r="Z190" s="224" t="s"/>
      <c r="AA190" s="56" t="s"/>
      <c r="AB190" s="56" t="s"/>
      <c r="AC190" s="56" t="s"/>
      <c r="AD190" s="56" t="s"/>
    </row>
    <row r="191" spans="1:30">
      <c r="A191" s="56" t="s"/>
      <c r="B191" s="56" t="s"/>
      <c r="C191" s="306" t="s"/>
      <c r="D191" s="307" t="s"/>
      <c r="E191" s="308" t="s"/>
      <c r="F191" s="56" t="s"/>
      <c r="G191" s="56" t="s"/>
      <c r="H191" s="56" t="s"/>
      <c r="I191" s="56" t="s"/>
      <c r="J191" s="56" t="s"/>
      <c r="K191" s="302" t="s"/>
      <c r="L191" s="303" t="s"/>
      <c r="M191" s="303" t="s"/>
      <c r="N191" s="56" t="s"/>
      <c r="O191" s="304" t="s"/>
      <c r="P191" s="297" t="s"/>
      <c r="Q191" s="305" t="s"/>
      <c r="R191" s="214" t="s"/>
      <c r="S191" s="214" t="s"/>
      <c r="T191" s="224" t="s"/>
      <c r="U191" s="224" t="s"/>
      <c r="V191" s="224" t="s"/>
      <c r="W191" s="224" t="s"/>
      <c r="X191" s="224" t="s"/>
      <c r="Y191" s="224" t="s"/>
      <c r="Z191" s="224" t="s"/>
      <c r="AA191" s="56" t="s"/>
      <c r="AB191" s="56" t="s"/>
      <c r="AC191" s="56" t="s"/>
      <c r="AD191" s="56" t="s"/>
    </row>
    <row r="192" spans="1:30">
      <c r="A192" s="56" t="s"/>
      <c r="B192" s="56" t="s"/>
      <c r="C192" s="306" t="s"/>
      <c r="D192" s="307" t="s"/>
      <c r="E192" s="308" t="s"/>
      <c r="F192" s="56" t="s"/>
      <c r="G192" s="56" t="s"/>
      <c r="H192" s="56" t="s"/>
      <c r="I192" s="56" t="s"/>
      <c r="J192" s="56" t="s"/>
      <c r="K192" s="302" t="s"/>
      <c r="L192" s="303" t="s"/>
      <c r="M192" s="303" t="s"/>
      <c r="N192" s="56" t="s"/>
      <c r="O192" s="304" t="s"/>
      <c r="P192" s="297" t="s"/>
      <c r="Q192" s="305" t="s"/>
      <c r="R192" s="214" t="s"/>
      <c r="S192" s="214" t="s"/>
      <c r="T192" s="224" t="s"/>
      <c r="U192" s="224" t="s"/>
      <c r="V192" s="224" t="s"/>
      <c r="W192" s="224" t="s"/>
      <c r="X192" s="224" t="s"/>
      <c r="Y192" s="224" t="s"/>
      <c r="Z192" s="224" t="s"/>
      <c r="AA192" s="56" t="s"/>
      <c r="AB192" s="56" t="s"/>
      <c r="AC192" s="56" t="s"/>
      <c r="AD192" s="56" t="s"/>
    </row>
    <row r="193" spans="1:30">
      <c r="A193" s="56" t="s"/>
      <c r="B193" s="56" t="s"/>
      <c r="C193" s="306" t="s"/>
      <c r="D193" s="307" t="s"/>
      <c r="E193" s="308" t="s"/>
      <c r="F193" s="56" t="s"/>
      <c r="G193" s="56" t="s"/>
      <c r="H193" s="56" t="s"/>
      <c r="I193" s="56" t="s"/>
      <c r="J193" s="56" t="s"/>
      <c r="K193" s="302" t="s"/>
      <c r="L193" s="303" t="s"/>
      <c r="M193" s="303" t="s"/>
      <c r="N193" s="56" t="s"/>
      <c r="O193" s="304" t="s"/>
      <c r="P193" s="297" t="s"/>
      <c r="Q193" s="305" t="s"/>
      <c r="R193" s="214" t="s"/>
      <c r="S193" s="214" t="s"/>
      <c r="T193" s="224" t="s"/>
      <c r="U193" s="224" t="s"/>
      <c r="V193" s="224" t="s"/>
      <c r="W193" s="224" t="s"/>
      <c r="X193" s="224" t="s"/>
      <c r="Y193" s="224" t="s"/>
      <c r="Z193" s="224" t="s"/>
      <c r="AA193" s="56" t="s"/>
      <c r="AB193" s="56" t="s"/>
      <c r="AC193" s="56" t="s"/>
      <c r="AD193" s="56" t="s"/>
    </row>
    <row r="194" spans="1:30">
      <c r="A194" s="56" t="s"/>
      <c r="B194" s="56" t="s"/>
      <c r="C194" s="306" t="s"/>
      <c r="D194" s="307" t="s"/>
      <c r="E194" s="308" t="s"/>
      <c r="F194" s="56" t="s"/>
      <c r="G194" s="56" t="s"/>
      <c r="H194" s="56" t="s"/>
      <c r="I194" s="56" t="s"/>
      <c r="J194" s="56" t="s"/>
      <c r="K194" s="302" t="s"/>
      <c r="L194" s="303" t="s"/>
      <c r="M194" s="303" t="s"/>
      <c r="N194" s="56" t="s"/>
      <c r="O194" s="304" t="s"/>
      <c r="P194" s="297" t="s"/>
      <c r="Q194" s="305" t="s"/>
      <c r="R194" s="214" t="s"/>
      <c r="S194" s="214" t="s"/>
      <c r="T194" s="224" t="s"/>
      <c r="U194" s="224" t="s"/>
      <c r="V194" s="224" t="s"/>
      <c r="W194" s="224" t="s"/>
      <c r="X194" s="224" t="s"/>
      <c r="Y194" s="224" t="s"/>
      <c r="Z194" s="224" t="s"/>
      <c r="AA194" s="56" t="s"/>
      <c r="AB194" s="56" t="s"/>
      <c r="AC194" s="56" t="s"/>
      <c r="AD194" s="56" t="s"/>
    </row>
    <row r="195" spans="1:30">
      <c r="A195" s="56" t="s"/>
      <c r="B195" s="56" t="s"/>
      <c r="C195" s="306" t="s"/>
      <c r="D195" s="307" t="s"/>
      <c r="E195" s="308" t="s"/>
      <c r="F195" s="56" t="s"/>
      <c r="G195" s="56" t="s"/>
      <c r="H195" s="56" t="s"/>
      <c r="I195" s="56" t="s"/>
      <c r="J195" s="56" t="s"/>
      <c r="K195" s="302" t="s"/>
      <c r="L195" s="303" t="s"/>
      <c r="M195" s="303" t="s"/>
      <c r="N195" s="56" t="s"/>
      <c r="O195" s="304" t="s"/>
      <c r="P195" s="297" t="s"/>
      <c r="Q195" s="305" t="s"/>
      <c r="R195" s="214" t="s"/>
      <c r="S195" s="214" t="s"/>
      <c r="T195" s="224" t="s"/>
      <c r="U195" s="224" t="s"/>
      <c r="V195" s="224" t="s"/>
      <c r="W195" s="224" t="s"/>
      <c r="X195" s="224" t="s"/>
      <c r="Y195" s="224" t="s"/>
      <c r="Z195" s="224" t="s"/>
      <c r="AA195" s="56" t="s"/>
      <c r="AB195" s="56" t="s"/>
      <c r="AC195" s="56" t="s"/>
      <c r="AD195" s="56" t="s"/>
    </row>
    <row r="196" spans="1:30">
      <c r="A196" s="56" t="s"/>
      <c r="B196" s="56" t="s"/>
      <c r="C196" s="306" t="s"/>
      <c r="D196" s="307" t="s"/>
      <c r="E196" s="308" t="s"/>
      <c r="F196" s="56" t="s"/>
      <c r="G196" s="56" t="s"/>
      <c r="H196" s="56" t="s"/>
      <c r="I196" s="56" t="s"/>
      <c r="J196" s="56" t="s"/>
      <c r="K196" s="302" t="s"/>
      <c r="L196" s="303" t="s"/>
      <c r="M196" s="303" t="s"/>
      <c r="N196" s="56" t="s"/>
      <c r="O196" s="304" t="s"/>
      <c r="P196" s="297" t="s"/>
      <c r="Q196" s="305" t="s"/>
      <c r="R196" s="214" t="s"/>
      <c r="S196" s="214" t="s"/>
      <c r="T196" s="224" t="s"/>
      <c r="U196" s="224" t="s"/>
      <c r="V196" s="224" t="s"/>
      <c r="W196" s="224" t="s"/>
      <c r="X196" s="224" t="s"/>
      <c r="Y196" s="224" t="s"/>
      <c r="Z196" s="224" t="s"/>
      <c r="AA196" s="56" t="s"/>
      <c r="AB196" s="56" t="s"/>
      <c r="AC196" s="56" t="s"/>
      <c r="AD196" s="56" t="s"/>
    </row>
    <row r="197" spans="1:30">
      <c r="A197" s="56" t="s"/>
      <c r="B197" s="56" t="s"/>
      <c r="C197" s="306" t="s"/>
      <c r="D197" s="307" t="s"/>
      <c r="E197" s="308" t="s"/>
      <c r="F197" s="56" t="s"/>
      <c r="G197" s="56" t="s"/>
      <c r="H197" s="56" t="s"/>
      <c r="I197" s="56" t="s"/>
      <c r="J197" s="56" t="s"/>
      <c r="K197" s="302" t="s"/>
      <c r="L197" s="303" t="s"/>
      <c r="M197" s="303" t="s"/>
      <c r="N197" s="56" t="s"/>
      <c r="O197" s="304" t="s"/>
      <c r="P197" s="297" t="s"/>
      <c r="Q197" s="305" t="s"/>
      <c r="R197" s="214" t="s"/>
      <c r="S197" s="214" t="s"/>
      <c r="T197" s="224" t="s"/>
      <c r="U197" s="224" t="s"/>
      <c r="V197" s="224" t="s"/>
      <c r="W197" s="224" t="s"/>
      <c r="X197" s="224" t="s"/>
      <c r="Y197" s="224" t="s"/>
      <c r="Z197" s="224" t="s"/>
      <c r="AA197" s="56" t="s"/>
      <c r="AB197" s="56" t="s"/>
      <c r="AC197" s="56" t="s"/>
      <c r="AD197" s="56" t="s"/>
    </row>
    <row r="198" spans="1:30">
      <c r="A198" s="56" t="s"/>
      <c r="B198" s="56" t="s"/>
      <c r="C198" s="306" t="s"/>
      <c r="D198" s="307" t="s"/>
      <c r="E198" s="308" t="s"/>
      <c r="F198" s="56" t="s"/>
      <c r="G198" s="56" t="s"/>
      <c r="H198" s="56" t="s"/>
      <c r="I198" s="56" t="s"/>
      <c r="J198" s="56" t="s"/>
      <c r="K198" s="302" t="s"/>
      <c r="L198" s="303" t="s"/>
      <c r="M198" s="303" t="s"/>
      <c r="N198" s="56" t="s"/>
      <c r="O198" s="304" t="s"/>
      <c r="P198" s="297" t="s"/>
      <c r="Q198" s="305" t="s"/>
      <c r="R198" s="214" t="s"/>
      <c r="S198" s="214" t="s"/>
      <c r="T198" s="224" t="s"/>
      <c r="U198" s="224" t="s"/>
      <c r="V198" s="224" t="s"/>
      <c r="W198" s="224" t="s"/>
      <c r="X198" s="224" t="s"/>
      <c r="Y198" s="224" t="s"/>
      <c r="Z198" s="224" t="s"/>
      <c r="AA198" s="56" t="s"/>
      <c r="AB198" s="56" t="s"/>
      <c r="AC198" s="56" t="s"/>
      <c r="AD198" s="56" t="s"/>
    </row>
    <row r="199" spans="1:30">
      <c r="A199" s="56" t="s"/>
      <c r="B199" s="56" t="s"/>
      <c r="C199" s="306" t="s"/>
      <c r="D199" s="307" t="s"/>
      <c r="E199" s="308" t="s"/>
      <c r="F199" s="56" t="s"/>
      <c r="G199" s="56" t="s"/>
      <c r="H199" s="56" t="s"/>
      <c r="I199" s="56" t="s"/>
      <c r="J199" s="56" t="s"/>
      <c r="K199" s="302" t="s"/>
      <c r="L199" s="303" t="s"/>
      <c r="M199" s="303" t="s"/>
      <c r="N199" s="56" t="s"/>
      <c r="O199" s="304" t="s"/>
      <c r="P199" s="297" t="s"/>
      <c r="Q199" s="305" t="s"/>
      <c r="R199" s="214" t="s"/>
      <c r="S199" s="214" t="s"/>
      <c r="T199" s="224" t="s"/>
      <c r="U199" s="224" t="s"/>
      <c r="V199" s="224" t="s"/>
      <c r="W199" s="224" t="s"/>
      <c r="X199" s="224" t="s"/>
      <c r="Y199" s="224" t="s"/>
      <c r="Z199" s="224" t="s"/>
      <c r="AA199" s="56" t="s"/>
      <c r="AB199" s="56" t="s"/>
      <c r="AC199" s="56" t="s"/>
      <c r="AD199" s="56" t="s"/>
    </row>
    <row r="200" spans="1:30">
      <c r="A200" s="56" t="s"/>
      <c r="B200" s="56" t="s"/>
      <c r="C200" s="306" t="s"/>
      <c r="D200" s="307" t="s"/>
      <c r="E200" s="308" t="s"/>
      <c r="F200" s="56" t="s"/>
      <c r="G200" s="56" t="s"/>
      <c r="H200" s="56" t="s"/>
      <c r="I200" s="56" t="s"/>
      <c r="J200" s="56" t="s"/>
      <c r="K200" s="302" t="s"/>
      <c r="L200" s="303" t="s"/>
      <c r="M200" s="303" t="s"/>
      <c r="N200" s="56" t="s"/>
      <c r="O200" s="304" t="s"/>
      <c r="P200" s="297" t="s"/>
      <c r="Q200" s="305" t="s"/>
      <c r="R200" s="214" t="s"/>
      <c r="S200" s="214" t="s"/>
      <c r="T200" s="224" t="s"/>
      <c r="U200" s="224" t="s"/>
      <c r="V200" s="224" t="s"/>
      <c r="W200" s="224" t="s"/>
      <c r="X200" s="224" t="s"/>
      <c r="Y200" s="224" t="s"/>
      <c r="Z200" s="224" t="s"/>
      <c r="AA200" s="56" t="s"/>
      <c r="AB200" s="56" t="s"/>
      <c r="AC200" s="56" t="s"/>
      <c r="AD200" s="56" t="s"/>
    </row>
    <row r="201" spans="1:30">
      <c r="A201" s="56" t="s"/>
      <c r="B201" s="56" t="s"/>
      <c r="C201" s="306" t="s"/>
      <c r="D201" s="307" t="s"/>
      <c r="E201" s="308" t="s"/>
      <c r="F201" s="56" t="s"/>
      <c r="G201" s="56" t="s"/>
      <c r="H201" s="56" t="s"/>
      <c r="I201" s="56" t="s"/>
      <c r="J201" s="56" t="s"/>
      <c r="K201" s="302" t="s"/>
      <c r="L201" s="303" t="s"/>
      <c r="M201" s="303" t="s"/>
      <c r="N201" s="56" t="s"/>
      <c r="O201" s="304" t="s"/>
      <c r="P201" s="297" t="s"/>
      <c r="Q201" s="305" t="s"/>
      <c r="R201" s="214" t="s"/>
      <c r="S201" s="214" t="s"/>
      <c r="T201" s="224" t="s"/>
      <c r="U201" s="224" t="s"/>
      <c r="V201" s="224" t="s"/>
      <c r="W201" s="224" t="s"/>
      <c r="X201" s="224" t="s"/>
      <c r="Y201" s="224" t="s"/>
      <c r="Z201" s="224" t="s"/>
      <c r="AA201" s="56" t="s"/>
      <c r="AB201" s="56" t="s"/>
      <c r="AC201" s="56" t="s"/>
      <c r="AD201" s="56" t="s"/>
    </row>
    <row r="202" spans="1:30">
      <c r="A202" s="56" t="s"/>
      <c r="B202" s="56" t="s"/>
      <c r="C202" s="306" t="s"/>
      <c r="D202" s="307" t="s"/>
      <c r="E202" s="308" t="s"/>
      <c r="F202" s="56" t="s"/>
      <c r="G202" s="56" t="s"/>
      <c r="H202" s="56" t="s"/>
      <c r="I202" s="56" t="s"/>
      <c r="J202" s="56" t="s"/>
      <c r="K202" s="302" t="s"/>
      <c r="L202" s="303" t="s"/>
      <c r="M202" s="303" t="s"/>
      <c r="N202" s="56" t="s"/>
      <c r="O202" s="304" t="s"/>
      <c r="P202" s="297" t="s"/>
      <c r="Q202" s="305" t="s"/>
      <c r="R202" s="214" t="s"/>
      <c r="S202" s="214" t="s"/>
      <c r="T202" s="224" t="s"/>
      <c r="U202" s="224" t="s"/>
      <c r="V202" s="224" t="s"/>
      <c r="W202" s="224" t="s"/>
      <c r="X202" s="224" t="s"/>
      <c r="Y202" s="224" t="s"/>
      <c r="Z202" s="224" t="s"/>
      <c r="AA202" s="56" t="s"/>
      <c r="AB202" s="56" t="s"/>
      <c r="AC202" s="56" t="s"/>
      <c r="AD202" s="56" t="s"/>
    </row>
    <row r="203" spans="1:30">
      <c r="A203" s="56" t="s"/>
      <c r="B203" s="56" t="s"/>
      <c r="C203" s="306" t="s"/>
      <c r="D203" s="307" t="s"/>
      <c r="E203" s="308" t="s"/>
      <c r="F203" s="56" t="s"/>
      <c r="G203" s="56" t="s"/>
      <c r="H203" s="56" t="s"/>
      <c r="I203" s="56" t="s"/>
      <c r="J203" s="56" t="s"/>
      <c r="K203" s="302" t="s"/>
      <c r="L203" s="303" t="s"/>
      <c r="M203" s="303" t="s"/>
      <c r="N203" s="56" t="s"/>
      <c r="O203" s="304" t="s"/>
      <c r="P203" s="297" t="s"/>
      <c r="Q203" s="305" t="s"/>
      <c r="R203" s="214" t="s"/>
      <c r="S203" s="214" t="s"/>
      <c r="T203" s="224" t="s"/>
      <c r="U203" s="224" t="s"/>
      <c r="V203" s="224" t="s"/>
      <c r="W203" s="224" t="s"/>
      <c r="X203" s="224" t="s"/>
      <c r="Y203" s="224" t="s"/>
      <c r="Z203" s="224" t="s"/>
      <c r="AA203" s="56" t="s"/>
      <c r="AB203" s="56" t="s"/>
      <c r="AC203" s="56" t="s"/>
      <c r="AD203" s="56" t="s"/>
    </row>
    <row r="204" spans="1:30">
      <c r="A204" s="56" t="s"/>
      <c r="B204" s="56" t="s"/>
      <c r="C204" s="306" t="s"/>
      <c r="D204" s="307" t="s"/>
      <c r="E204" s="308" t="s"/>
      <c r="F204" s="56" t="s"/>
      <c r="G204" s="56" t="s"/>
      <c r="H204" s="56" t="s"/>
      <c r="I204" s="56" t="s"/>
      <c r="J204" s="56" t="s"/>
      <c r="K204" s="302" t="s"/>
      <c r="L204" s="303" t="s"/>
      <c r="M204" s="303" t="s"/>
      <c r="N204" s="56" t="s"/>
      <c r="O204" s="304" t="s"/>
      <c r="P204" s="297" t="s"/>
      <c r="Q204" s="305" t="s"/>
      <c r="R204" s="214" t="s"/>
      <c r="S204" s="214" t="s"/>
      <c r="T204" s="224" t="s"/>
      <c r="U204" s="224" t="s"/>
      <c r="V204" s="224" t="s"/>
      <c r="W204" s="224" t="s"/>
      <c r="X204" s="224" t="s"/>
      <c r="Y204" s="224" t="s"/>
      <c r="Z204" s="224" t="s"/>
      <c r="AA204" s="56" t="s"/>
      <c r="AB204" s="56" t="s"/>
      <c r="AC204" s="56" t="s"/>
      <c r="AD204" s="56" t="s"/>
    </row>
    <row r="205" spans="1:30">
      <c r="A205" s="56" t="s"/>
      <c r="B205" s="56" t="s"/>
      <c r="C205" s="306" t="s"/>
      <c r="D205" s="307" t="s"/>
      <c r="E205" s="308" t="s"/>
      <c r="F205" s="56" t="s"/>
      <c r="G205" s="56" t="s"/>
      <c r="H205" s="56" t="s"/>
      <c r="I205" s="56" t="s"/>
      <c r="J205" s="56" t="s"/>
      <c r="K205" s="302" t="s"/>
      <c r="L205" s="303" t="s"/>
      <c r="M205" s="303" t="s"/>
      <c r="N205" s="56" t="s"/>
      <c r="O205" s="304" t="s"/>
      <c r="P205" s="297" t="s"/>
      <c r="Q205" s="305" t="s"/>
      <c r="R205" s="214" t="s"/>
      <c r="S205" s="214" t="s"/>
      <c r="T205" s="224" t="s"/>
      <c r="U205" s="224" t="s"/>
      <c r="V205" s="224" t="s"/>
      <c r="W205" s="224" t="s"/>
      <c r="X205" s="224" t="s"/>
      <c r="Y205" s="224" t="s"/>
      <c r="Z205" s="224" t="s"/>
      <c r="AA205" s="56" t="s"/>
      <c r="AB205" s="56" t="s"/>
      <c r="AC205" s="56" t="s"/>
      <c r="AD205" s="56" t="s"/>
    </row>
    <row r="206" spans="1:30">
      <c r="A206" s="56" t="s"/>
      <c r="B206" s="56" t="s"/>
      <c r="C206" s="306" t="s"/>
      <c r="D206" s="307" t="s"/>
      <c r="E206" s="308" t="s"/>
      <c r="F206" s="56" t="s"/>
      <c r="G206" s="56" t="s"/>
      <c r="H206" s="56" t="s"/>
      <c r="I206" s="56" t="s"/>
      <c r="J206" s="56" t="s"/>
      <c r="K206" s="302" t="s"/>
      <c r="L206" s="303" t="s"/>
      <c r="M206" s="303" t="s"/>
      <c r="N206" s="56" t="s"/>
      <c r="O206" s="304" t="s"/>
      <c r="P206" s="297" t="s"/>
      <c r="Q206" s="305" t="s"/>
      <c r="R206" s="214" t="s"/>
      <c r="S206" s="214" t="s"/>
      <c r="T206" s="224" t="s"/>
      <c r="U206" s="224" t="s"/>
      <c r="V206" s="224" t="s"/>
      <c r="W206" s="224" t="s"/>
      <c r="X206" s="224" t="s"/>
      <c r="Y206" s="224" t="s"/>
      <c r="Z206" s="224" t="s"/>
      <c r="AA206" s="56" t="s"/>
      <c r="AB206" s="56" t="s"/>
      <c r="AC206" s="56" t="s"/>
      <c r="AD206" s="56" t="s"/>
    </row>
    <row r="207" spans="1:30">
      <c r="A207" s="56" t="s"/>
      <c r="B207" s="56" t="s"/>
      <c r="C207" s="306" t="s"/>
      <c r="D207" s="307" t="s"/>
      <c r="E207" s="308" t="s"/>
      <c r="F207" s="56" t="s"/>
      <c r="G207" s="56" t="s"/>
      <c r="H207" s="56" t="s"/>
      <c r="I207" s="56" t="s"/>
      <c r="J207" s="56" t="s"/>
      <c r="K207" s="302" t="s"/>
      <c r="L207" s="303" t="s"/>
      <c r="M207" s="303" t="s"/>
      <c r="N207" s="56" t="s"/>
      <c r="O207" s="304" t="s"/>
      <c r="P207" s="297" t="s"/>
      <c r="Q207" s="305" t="s"/>
      <c r="R207" s="214" t="s"/>
      <c r="S207" s="214" t="s"/>
      <c r="T207" s="224" t="s"/>
      <c r="U207" s="224" t="s"/>
      <c r="V207" s="224" t="s"/>
      <c r="W207" s="224" t="s"/>
      <c r="X207" s="224" t="s"/>
      <c r="Y207" s="224" t="s"/>
      <c r="Z207" s="224" t="s"/>
      <c r="AA207" s="56" t="s"/>
      <c r="AB207" s="56" t="s"/>
      <c r="AC207" s="56" t="s"/>
      <c r="AD207" s="56" t="s"/>
    </row>
    <row r="208" spans="1:30">
      <c r="A208" s="56" t="s"/>
      <c r="B208" s="56" t="s"/>
      <c r="C208" s="306" t="s"/>
      <c r="D208" s="307" t="s"/>
      <c r="E208" s="308" t="s"/>
      <c r="F208" s="56" t="s"/>
      <c r="G208" s="56" t="s"/>
      <c r="H208" s="56" t="s"/>
      <c r="I208" s="56" t="s"/>
      <c r="J208" s="56" t="s"/>
      <c r="K208" s="302" t="s"/>
      <c r="L208" s="303" t="s"/>
      <c r="M208" s="303" t="s"/>
      <c r="N208" s="56" t="s"/>
      <c r="O208" s="304" t="s"/>
      <c r="P208" s="297" t="s"/>
      <c r="Q208" s="305" t="s"/>
      <c r="R208" s="214" t="s"/>
      <c r="S208" s="214" t="s"/>
      <c r="T208" s="224" t="s"/>
      <c r="U208" s="224" t="s"/>
      <c r="V208" s="224" t="s"/>
      <c r="W208" s="224" t="s"/>
      <c r="X208" s="224" t="s"/>
      <c r="Y208" s="224" t="s"/>
      <c r="Z208" s="224" t="s"/>
      <c r="AA208" s="56" t="s"/>
      <c r="AB208" s="56" t="s"/>
      <c r="AC208" s="56" t="s"/>
      <c r="AD208" s="56" t="s"/>
    </row>
    <row r="209" spans="1:30">
      <c r="A209" s="56" t="s"/>
      <c r="B209" s="56" t="s"/>
      <c r="C209" s="306" t="s"/>
      <c r="D209" s="307" t="s"/>
      <c r="E209" s="308" t="s"/>
      <c r="F209" s="56" t="s"/>
      <c r="G209" s="56" t="s"/>
      <c r="H209" s="56" t="s"/>
      <c r="I209" s="56" t="s"/>
      <c r="J209" s="56" t="s"/>
      <c r="K209" s="302" t="s"/>
      <c r="L209" s="303" t="s"/>
      <c r="M209" s="303" t="s"/>
      <c r="N209" s="56" t="s"/>
      <c r="O209" s="304" t="s"/>
      <c r="P209" s="297" t="s"/>
      <c r="Q209" s="305" t="s"/>
      <c r="R209" s="214" t="s"/>
      <c r="S209" s="214" t="s"/>
      <c r="T209" s="224" t="s"/>
      <c r="U209" s="224" t="s"/>
      <c r="V209" s="224" t="s"/>
      <c r="W209" s="224" t="s"/>
      <c r="X209" s="224" t="s"/>
      <c r="Y209" s="224" t="s"/>
      <c r="Z209" s="224" t="s"/>
      <c r="AA209" s="56" t="s"/>
      <c r="AB209" s="56" t="s"/>
      <c r="AC209" s="56" t="s"/>
      <c r="AD209" s="56" t="s"/>
    </row>
    <row r="210" spans="1:30">
      <c r="A210" s="56" t="s"/>
      <c r="B210" s="56" t="s"/>
      <c r="C210" s="306" t="s"/>
      <c r="D210" s="307" t="s"/>
      <c r="E210" s="308" t="s"/>
      <c r="F210" s="56" t="s"/>
      <c r="G210" s="56" t="s"/>
      <c r="H210" s="56" t="s"/>
      <c r="I210" s="56" t="s"/>
      <c r="J210" s="56" t="s"/>
      <c r="K210" s="302" t="s"/>
      <c r="L210" s="303" t="s"/>
      <c r="M210" s="303" t="s"/>
      <c r="N210" s="56" t="s"/>
      <c r="O210" s="304" t="s"/>
      <c r="P210" s="297" t="s"/>
      <c r="Q210" s="305" t="s"/>
      <c r="R210" s="214" t="s"/>
      <c r="S210" s="214" t="s"/>
      <c r="T210" s="224" t="s"/>
      <c r="U210" s="224" t="s"/>
      <c r="V210" s="224" t="s"/>
      <c r="W210" s="224" t="s"/>
      <c r="X210" s="224" t="s"/>
      <c r="Y210" s="224" t="s"/>
      <c r="Z210" s="224" t="s"/>
      <c r="AA210" s="56" t="s"/>
      <c r="AB210" s="56" t="s"/>
      <c r="AC210" s="56" t="s"/>
      <c r="AD210" s="56" t="s"/>
    </row>
    <row r="211" spans="1:30">
      <c r="A211" s="56" t="s"/>
      <c r="B211" s="56" t="s"/>
      <c r="C211" s="306" t="s"/>
      <c r="D211" s="307" t="s"/>
      <c r="E211" s="308" t="s"/>
      <c r="F211" s="56" t="s"/>
      <c r="G211" s="56" t="s"/>
      <c r="H211" s="56" t="s"/>
      <c r="I211" s="56" t="s"/>
      <c r="J211" s="56" t="s"/>
      <c r="K211" s="302" t="s"/>
      <c r="L211" s="303" t="s"/>
      <c r="M211" s="303" t="s"/>
      <c r="N211" s="56" t="s"/>
      <c r="O211" s="304" t="s"/>
      <c r="P211" s="297" t="s"/>
      <c r="Q211" s="305" t="s"/>
      <c r="R211" s="214" t="s"/>
      <c r="S211" s="214" t="s"/>
      <c r="T211" s="224" t="s"/>
      <c r="U211" s="224" t="s"/>
      <c r="V211" s="224" t="s"/>
      <c r="W211" s="224" t="s"/>
      <c r="X211" s="224" t="s"/>
      <c r="Y211" s="224" t="s"/>
      <c r="Z211" s="224" t="s"/>
      <c r="AA211" s="56" t="s"/>
      <c r="AB211" s="56" t="s"/>
      <c r="AC211" s="56" t="s"/>
      <c r="AD211" s="56" t="s"/>
    </row>
    <row r="212" spans="1:30">
      <c r="A212" s="56" t="s"/>
      <c r="B212" s="56" t="s"/>
      <c r="C212" s="306" t="s"/>
      <c r="D212" s="307" t="s"/>
      <c r="E212" s="308" t="s"/>
      <c r="F212" s="56" t="s"/>
      <c r="G212" s="56" t="s"/>
      <c r="H212" s="56" t="s"/>
      <c r="I212" s="56" t="s"/>
      <c r="J212" s="56" t="s"/>
      <c r="K212" s="302" t="s"/>
      <c r="L212" s="303" t="s"/>
      <c r="M212" s="303" t="s"/>
      <c r="N212" s="56" t="s"/>
      <c r="O212" s="304" t="s"/>
      <c r="P212" s="297" t="s"/>
      <c r="Q212" s="305" t="s"/>
      <c r="R212" s="214" t="s"/>
      <c r="S212" s="214" t="s"/>
      <c r="T212" s="224" t="s"/>
      <c r="U212" s="224" t="s"/>
      <c r="V212" s="224" t="s"/>
      <c r="W212" s="224" t="s"/>
      <c r="X212" s="224" t="s"/>
      <c r="Y212" s="224" t="s"/>
      <c r="Z212" s="224" t="s"/>
      <c r="AA212" s="56" t="s"/>
      <c r="AB212" s="56" t="s"/>
      <c r="AC212" s="56" t="s"/>
      <c r="AD212" s="56" t="s"/>
    </row>
    <row r="213" spans="1:30">
      <c r="A213" s="56" t="s"/>
      <c r="B213" s="56" t="s"/>
      <c r="C213" s="306" t="s"/>
      <c r="D213" s="307" t="s"/>
      <c r="E213" s="308" t="s"/>
      <c r="F213" s="56" t="s"/>
      <c r="G213" s="56" t="s"/>
      <c r="H213" s="56" t="s"/>
      <c r="I213" s="56" t="s"/>
      <c r="J213" s="56" t="s"/>
      <c r="K213" s="302" t="s"/>
      <c r="L213" s="303" t="s"/>
      <c r="M213" s="303" t="s"/>
      <c r="N213" s="56" t="s"/>
      <c r="O213" s="304" t="s"/>
      <c r="P213" s="297" t="s"/>
      <c r="Q213" s="305" t="s"/>
      <c r="R213" s="214" t="s"/>
      <c r="S213" s="214" t="s"/>
      <c r="T213" s="224" t="s"/>
      <c r="U213" s="224" t="s"/>
      <c r="V213" s="224" t="s"/>
      <c r="W213" s="224" t="s"/>
      <c r="X213" s="224" t="s"/>
      <c r="Y213" s="224" t="s"/>
      <c r="Z213" s="224" t="s"/>
      <c r="AA213" s="56" t="s"/>
      <c r="AB213" s="56" t="s"/>
      <c r="AC213" s="56" t="s"/>
      <c r="AD213" s="56" t="s"/>
    </row>
    <row r="214" spans="1:30">
      <c r="A214" s="56" t="s"/>
      <c r="B214" s="56" t="s"/>
      <c r="C214" s="306" t="s"/>
      <c r="D214" s="307" t="s"/>
      <c r="E214" s="308" t="s"/>
      <c r="F214" s="56" t="s"/>
      <c r="G214" s="56" t="s"/>
      <c r="H214" s="56" t="s"/>
      <c r="I214" s="56" t="s"/>
      <c r="J214" s="56" t="s"/>
      <c r="K214" s="302" t="s"/>
      <c r="L214" s="303" t="s"/>
      <c r="M214" s="303" t="s"/>
      <c r="N214" s="56" t="s"/>
      <c r="O214" s="304" t="s"/>
      <c r="P214" s="297" t="s"/>
      <c r="Q214" s="305" t="s"/>
      <c r="R214" s="214" t="s"/>
      <c r="S214" s="214" t="s"/>
      <c r="T214" s="224" t="s"/>
      <c r="U214" s="224" t="s"/>
      <c r="V214" s="224" t="s"/>
      <c r="W214" s="224" t="s"/>
      <c r="X214" s="224" t="s"/>
      <c r="Y214" s="224" t="s"/>
      <c r="Z214" s="224" t="s"/>
      <c r="AA214" s="56" t="s"/>
      <c r="AB214" s="56" t="s"/>
      <c r="AC214" s="56" t="s"/>
      <c r="AD214" s="56" t="s"/>
    </row>
    <row r="215" spans="1:30">
      <c r="A215" s="56" t="s"/>
      <c r="B215" s="56" t="s"/>
      <c r="C215" s="306" t="s"/>
      <c r="D215" s="307" t="s"/>
      <c r="E215" s="308" t="s"/>
      <c r="F215" s="56" t="s"/>
      <c r="G215" s="56" t="s"/>
      <c r="H215" s="56" t="s"/>
      <c r="I215" s="56" t="s"/>
      <c r="J215" s="56" t="s"/>
      <c r="K215" s="302" t="s"/>
      <c r="L215" s="303" t="s"/>
      <c r="M215" s="303" t="s"/>
      <c r="N215" s="56" t="s"/>
      <c r="O215" s="304" t="s"/>
      <c r="P215" s="297" t="s"/>
      <c r="Q215" s="305" t="s"/>
      <c r="R215" s="214" t="s"/>
      <c r="S215" s="214" t="s"/>
      <c r="T215" s="224" t="s"/>
      <c r="U215" s="224" t="s"/>
      <c r="V215" s="224" t="s"/>
      <c r="W215" s="224" t="s"/>
      <c r="X215" s="224" t="s"/>
      <c r="Y215" s="224" t="s"/>
      <c r="Z215" s="224" t="s"/>
      <c r="AA215" s="56" t="s"/>
      <c r="AB215" s="56" t="s"/>
      <c r="AC215" s="56" t="s"/>
      <c r="AD215" s="56" t="s"/>
    </row>
    <row r="216" spans="1:30">
      <c r="A216" s="56" t="s"/>
      <c r="B216" s="56" t="s"/>
      <c r="C216" s="306" t="s"/>
      <c r="D216" s="307" t="s"/>
      <c r="E216" s="308" t="s"/>
      <c r="F216" s="56" t="s"/>
      <c r="G216" s="56" t="s"/>
      <c r="H216" s="56" t="s"/>
      <c r="I216" s="56" t="s"/>
      <c r="J216" s="56" t="s"/>
      <c r="K216" s="302" t="s"/>
      <c r="L216" s="303" t="s"/>
      <c r="M216" s="303" t="s"/>
      <c r="N216" s="56" t="s"/>
      <c r="O216" s="304" t="s"/>
      <c r="P216" s="297" t="s"/>
      <c r="Q216" s="305" t="s"/>
      <c r="R216" s="214" t="s"/>
      <c r="S216" s="214" t="s"/>
      <c r="T216" s="224" t="s"/>
      <c r="U216" s="224" t="s"/>
      <c r="V216" s="224" t="s"/>
      <c r="W216" s="224" t="s"/>
      <c r="X216" s="224" t="s"/>
      <c r="Y216" s="224" t="s"/>
      <c r="Z216" s="224" t="s"/>
      <c r="AA216" s="56" t="s"/>
      <c r="AB216" s="56" t="s"/>
      <c r="AC216" s="56" t="s"/>
      <c r="AD216" s="56" t="s"/>
    </row>
    <row r="217" spans="1:30">
      <c r="A217" s="56" t="s"/>
      <c r="B217" s="56" t="s"/>
      <c r="C217" s="306" t="s"/>
      <c r="D217" s="307" t="s"/>
      <c r="E217" s="308" t="s"/>
      <c r="F217" s="56" t="s"/>
      <c r="G217" s="56" t="s"/>
      <c r="H217" s="56" t="s"/>
      <c r="I217" s="56" t="s"/>
      <c r="J217" s="56" t="s"/>
      <c r="K217" s="302" t="s"/>
      <c r="L217" s="303" t="s"/>
      <c r="M217" s="303" t="s"/>
      <c r="N217" s="56" t="s"/>
      <c r="O217" s="304" t="s"/>
      <c r="P217" s="297" t="s"/>
      <c r="Q217" s="305" t="s"/>
      <c r="R217" s="214" t="s"/>
      <c r="S217" s="214" t="s"/>
      <c r="T217" s="224" t="s"/>
      <c r="U217" s="224" t="s"/>
      <c r="V217" s="224" t="s"/>
      <c r="W217" s="224" t="s"/>
      <c r="X217" s="224" t="s"/>
      <c r="Y217" s="224" t="s"/>
      <c r="Z217" s="224" t="s"/>
      <c r="AA217" s="56" t="s"/>
      <c r="AB217" s="56" t="s"/>
      <c r="AC217" s="56" t="s"/>
      <c r="AD217" s="56" t="s"/>
    </row>
    <row r="218" spans="1:30">
      <c r="A218" s="56" t="s"/>
      <c r="B218" s="56" t="s"/>
      <c r="C218" s="306" t="s"/>
      <c r="D218" s="307" t="s"/>
      <c r="E218" s="308" t="s"/>
      <c r="F218" s="56" t="s"/>
      <c r="G218" s="56" t="s"/>
      <c r="H218" s="56" t="s"/>
      <c r="I218" s="56" t="s"/>
      <c r="J218" s="56" t="s"/>
      <c r="K218" s="302" t="s"/>
      <c r="L218" s="303" t="s"/>
      <c r="M218" s="303" t="s"/>
      <c r="N218" s="56" t="s"/>
      <c r="O218" s="304" t="s"/>
      <c r="P218" s="297" t="s"/>
      <c r="Q218" s="305" t="s"/>
      <c r="R218" s="214" t="s"/>
      <c r="S218" s="214" t="s"/>
      <c r="T218" s="224" t="s"/>
      <c r="U218" s="224" t="s"/>
      <c r="V218" s="224" t="s"/>
      <c r="W218" s="224" t="s"/>
      <c r="X218" s="224" t="s"/>
      <c r="Y218" s="224" t="s"/>
      <c r="Z218" s="224" t="s"/>
      <c r="AA218" s="56" t="s"/>
      <c r="AB218" s="56" t="s"/>
      <c r="AC218" s="56" t="s"/>
      <c r="AD218" s="56" t="s"/>
    </row>
    <row r="219" spans="1:30">
      <c r="A219" s="56" t="s"/>
      <c r="B219" s="56" t="s"/>
      <c r="C219" s="306" t="s"/>
      <c r="D219" s="307" t="s"/>
      <c r="E219" s="308" t="s"/>
      <c r="F219" s="56" t="s"/>
      <c r="G219" s="56" t="s"/>
      <c r="H219" s="56" t="s"/>
      <c r="I219" s="56" t="s"/>
      <c r="J219" s="56" t="s"/>
      <c r="K219" s="302" t="s"/>
      <c r="L219" s="303" t="s"/>
      <c r="M219" s="303" t="s"/>
      <c r="N219" s="56" t="s"/>
      <c r="O219" s="304" t="s"/>
      <c r="P219" s="297" t="s"/>
      <c r="Q219" s="305" t="s"/>
      <c r="R219" s="214" t="s"/>
      <c r="S219" s="214" t="s"/>
      <c r="T219" s="224" t="s"/>
      <c r="U219" s="224" t="s"/>
      <c r="V219" s="224" t="s"/>
      <c r="W219" s="224" t="s"/>
      <c r="X219" s="224" t="s"/>
      <c r="Y219" s="224" t="s"/>
      <c r="Z219" s="224" t="s"/>
      <c r="AA219" s="56" t="s"/>
      <c r="AB219" s="56" t="s"/>
      <c r="AC219" s="56" t="s"/>
      <c r="AD219" s="56" t="s"/>
    </row>
    <row r="220" spans="1:30">
      <c r="A220" s="56" t="s"/>
      <c r="B220" s="56" t="s"/>
      <c r="C220" s="306" t="s"/>
      <c r="D220" s="307" t="s"/>
      <c r="E220" s="308" t="s"/>
      <c r="F220" s="56" t="s"/>
      <c r="G220" s="56" t="s"/>
      <c r="H220" s="56" t="s"/>
      <c r="I220" s="56" t="s"/>
      <c r="J220" s="56" t="s"/>
      <c r="K220" s="302" t="s"/>
      <c r="L220" s="303" t="s"/>
      <c r="M220" s="303" t="s"/>
      <c r="N220" s="56" t="s"/>
      <c r="O220" s="304" t="s"/>
      <c r="P220" s="297" t="s"/>
      <c r="Q220" s="305" t="s"/>
      <c r="R220" s="214" t="s"/>
      <c r="S220" s="214" t="s"/>
      <c r="T220" s="224" t="s"/>
      <c r="U220" s="224" t="s"/>
      <c r="V220" s="224" t="s"/>
      <c r="W220" s="224" t="s"/>
      <c r="X220" s="224" t="s"/>
      <c r="Y220" s="224" t="s"/>
      <c r="Z220" s="224" t="s"/>
      <c r="AA220" s="56" t="s"/>
      <c r="AB220" s="56" t="s"/>
      <c r="AC220" s="56" t="s"/>
      <c r="AD220" s="56" t="s"/>
    </row>
    <row r="221" spans="1:30">
      <c r="A221" s="56" t="s"/>
      <c r="B221" s="56" t="s"/>
      <c r="C221" s="306" t="s"/>
      <c r="D221" s="307" t="s"/>
      <c r="E221" s="308" t="s"/>
      <c r="F221" s="56" t="s"/>
      <c r="G221" s="56" t="s"/>
      <c r="H221" s="56" t="s"/>
      <c r="I221" s="56" t="s"/>
      <c r="J221" s="56" t="s"/>
      <c r="K221" s="302" t="s"/>
      <c r="L221" s="303" t="s"/>
      <c r="M221" s="303" t="s"/>
      <c r="N221" s="56" t="s"/>
      <c r="O221" s="304" t="s"/>
      <c r="P221" s="297" t="s"/>
      <c r="Q221" s="305" t="s"/>
      <c r="R221" s="214" t="s"/>
      <c r="S221" s="214" t="s"/>
      <c r="T221" s="224" t="s"/>
      <c r="U221" s="224" t="s"/>
      <c r="V221" s="224" t="s"/>
      <c r="W221" s="224" t="s"/>
      <c r="X221" s="224" t="s"/>
      <c r="Y221" s="224" t="s"/>
      <c r="Z221" s="224" t="s"/>
      <c r="AA221" s="56" t="s"/>
      <c r="AB221" s="56" t="s"/>
      <c r="AC221" s="56" t="s"/>
      <c r="AD221" s="56" t="s"/>
    </row>
    <row r="222" spans="1:30">
      <c r="A222" s="56" t="s"/>
      <c r="B222" s="56" t="s"/>
      <c r="C222" s="306" t="s"/>
      <c r="D222" s="307" t="s"/>
      <c r="E222" s="308" t="s"/>
      <c r="F222" s="56" t="s"/>
      <c r="G222" s="56" t="s"/>
      <c r="H222" s="56" t="s"/>
      <c r="I222" s="56" t="s"/>
      <c r="J222" s="56" t="s"/>
      <c r="K222" s="302" t="s"/>
      <c r="L222" s="303" t="s"/>
      <c r="M222" s="303" t="s"/>
      <c r="N222" s="56" t="s"/>
      <c r="O222" s="304" t="s"/>
      <c r="P222" s="297" t="s"/>
      <c r="Q222" s="305" t="s"/>
      <c r="R222" s="214" t="s"/>
      <c r="S222" s="214" t="s"/>
      <c r="T222" s="224" t="s"/>
      <c r="U222" s="224" t="s"/>
      <c r="V222" s="224" t="s"/>
      <c r="W222" s="224" t="s"/>
      <c r="X222" s="224" t="s"/>
      <c r="Y222" s="224" t="s"/>
      <c r="Z222" s="224" t="s"/>
      <c r="AA222" s="56" t="s"/>
      <c r="AB222" s="56" t="s"/>
      <c r="AC222" s="56" t="s"/>
      <c r="AD222" s="56" t="s"/>
    </row>
    <row r="223" spans="1:30">
      <c r="A223" s="56" t="s"/>
      <c r="B223" s="56" t="s"/>
      <c r="C223" s="306" t="s"/>
      <c r="D223" s="307" t="s"/>
      <c r="E223" s="308" t="s"/>
      <c r="F223" s="56" t="s"/>
      <c r="G223" s="56" t="s"/>
      <c r="H223" s="56" t="s"/>
      <c r="I223" s="56" t="s"/>
      <c r="J223" s="56" t="s"/>
      <c r="K223" s="302" t="s"/>
      <c r="L223" s="303" t="s"/>
      <c r="M223" s="303" t="s"/>
      <c r="N223" s="56" t="s"/>
      <c r="O223" s="304" t="s"/>
      <c r="P223" s="297" t="s"/>
      <c r="Q223" s="305" t="s"/>
      <c r="R223" s="214" t="s"/>
      <c r="S223" s="214" t="s"/>
      <c r="T223" s="224" t="s"/>
      <c r="U223" s="224" t="s"/>
      <c r="V223" s="224" t="s"/>
      <c r="W223" s="224" t="s"/>
      <c r="X223" s="224" t="s"/>
      <c r="Y223" s="224" t="s"/>
      <c r="Z223" s="224" t="s"/>
      <c r="AA223" s="56" t="s"/>
      <c r="AB223" s="56" t="s"/>
      <c r="AC223" s="56" t="s"/>
      <c r="AD223" s="56" t="s"/>
    </row>
    <row r="224" spans="1:30">
      <c r="A224" s="56" t="s"/>
      <c r="B224" s="56" t="s"/>
      <c r="C224" s="306" t="s"/>
      <c r="D224" s="307" t="s"/>
      <c r="E224" s="308" t="s"/>
      <c r="F224" s="56" t="s"/>
      <c r="G224" s="56" t="s"/>
      <c r="H224" s="56" t="s"/>
      <c r="I224" s="56" t="s"/>
      <c r="J224" s="56" t="s"/>
      <c r="K224" s="302" t="s"/>
      <c r="L224" s="303" t="s"/>
      <c r="M224" s="303" t="s"/>
      <c r="N224" s="56" t="s"/>
      <c r="O224" s="304" t="s"/>
      <c r="P224" s="297" t="s"/>
      <c r="Q224" s="305" t="s"/>
      <c r="R224" s="214" t="s"/>
      <c r="S224" s="214" t="s"/>
      <c r="T224" s="224" t="s"/>
      <c r="U224" s="224" t="s"/>
      <c r="V224" s="224" t="s"/>
      <c r="W224" s="224" t="s"/>
      <c r="X224" s="224" t="s"/>
      <c r="Y224" s="224" t="s"/>
      <c r="Z224" s="224" t="s"/>
      <c r="AA224" s="56" t="s"/>
      <c r="AB224" s="56" t="s"/>
      <c r="AC224" s="56" t="s"/>
      <c r="AD224" s="56" t="s"/>
    </row>
    <row r="225" spans="1:30">
      <c r="A225" s="56" t="s"/>
      <c r="B225" s="56" t="s"/>
      <c r="C225" s="306" t="s"/>
      <c r="D225" s="307" t="s"/>
      <c r="E225" s="308" t="s"/>
      <c r="F225" s="56" t="s"/>
      <c r="G225" s="56" t="s"/>
      <c r="H225" s="56" t="s"/>
      <c r="I225" s="56" t="s"/>
      <c r="J225" s="56" t="s"/>
      <c r="K225" s="302" t="s"/>
      <c r="L225" s="303" t="s"/>
      <c r="M225" s="303" t="s"/>
      <c r="N225" s="56" t="s"/>
      <c r="O225" s="304" t="s"/>
      <c r="P225" s="297" t="s"/>
      <c r="Q225" s="305" t="s"/>
      <c r="R225" s="214" t="s"/>
      <c r="S225" s="214" t="s"/>
      <c r="T225" s="224" t="s"/>
      <c r="U225" s="224" t="s"/>
      <c r="V225" s="224" t="s"/>
      <c r="W225" s="224" t="s"/>
      <c r="X225" s="224" t="s"/>
      <c r="Y225" s="224" t="s"/>
      <c r="Z225" s="224" t="s"/>
      <c r="AA225" s="56" t="s"/>
      <c r="AB225" s="56" t="s"/>
      <c r="AC225" s="56" t="s"/>
      <c r="AD225" s="56" t="s"/>
    </row>
    <row r="226" spans="1:30">
      <c r="A226" s="56" t="s"/>
      <c r="B226" s="56" t="s"/>
      <c r="C226" s="306" t="s"/>
      <c r="D226" s="307" t="s"/>
      <c r="E226" s="308" t="s"/>
      <c r="F226" s="56" t="s"/>
      <c r="G226" s="56" t="s"/>
      <c r="H226" s="56" t="s"/>
      <c r="I226" s="56" t="s"/>
      <c r="J226" s="56" t="s"/>
      <c r="K226" s="302" t="s"/>
      <c r="L226" s="303" t="s"/>
      <c r="M226" s="303" t="s"/>
      <c r="N226" s="56" t="s"/>
      <c r="O226" s="310" t="s"/>
      <c r="P226" s="311" t="s"/>
      <c r="Q226" s="305" t="s"/>
      <c r="R226" s="312" t="s"/>
      <c r="S226" s="312" t="s"/>
      <c r="T226" s="224" t="s"/>
      <c r="U226" s="224" t="s"/>
      <c r="V226" s="224" t="s"/>
      <c r="W226" s="224" t="s"/>
      <c r="X226" s="224" t="s"/>
      <c r="Y226" s="224" t="s"/>
      <c r="Z226" s="224" t="s"/>
      <c r="AA226" s="56" t="s"/>
      <c r="AB226" s="56" t="s"/>
      <c r="AC226" s="56" t="s"/>
      <c r="AD226" s="56" t="s"/>
    </row>
    <row r="227" spans="1:30">
      <c r="A227" s="56" t="s"/>
      <c r="B227" s="56" t="s"/>
      <c r="C227" s="306" t="s"/>
      <c r="D227" s="307" t="s"/>
      <c r="E227" s="308" t="s"/>
      <c r="F227" s="56" t="s"/>
      <c r="G227" s="56" t="s"/>
      <c r="H227" s="56" t="s"/>
      <c r="I227" s="56" t="s"/>
      <c r="J227" s="56" t="s"/>
      <c r="K227" s="302" t="s"/>
      <c r="L227" s="303" t="s"/>
      <c r="M227" s="303" t="s"/>
      <c r="N227" s="56" t="s"/>
      <c r="O227" s="310" t="s"/>
      <c r="P227" s="311" t="s"/>
      <c r="Q227" s="305" t="s"/>
      <c r="R227" s="312" t="s"/>
      <c r="S227" s="312" t="s"/>
      <c r="T227" s="224" t="s"/>
      <c r="U227" s="224" t="s"/>
      <c r="V227" s="224" t="s"/>
      <c r="W227" s="224" t="s"/>
      <c r="X227" s="224" t="s"/>
      <c r="Y227" s="224" t="s"/>
      <c r="Z227" s="224" t="s"/>
      <c r="AA227" s="56" t="s"/>
      <c r="AB227" s="56" t="s"/>
      <c r="AC227" s="56" t="s"/>
      <c r="AD227" s="56" t="s"/>
    </row>
    <row r="228" spans="1:30">
      <c r="A228" s="56" t="s"/>
      <c r="B228" s="56" t="s"/>
      <c r="C228" s="306" t="s"/>
      <c r="D228" s="307" t="s"/>
      <c r="E228" s="308" t="s"/>
      <c r="F228" s="56" t="s"/>
      <c r="G228" s="56" t="s"/>
      <c r="H228" s="56" t="s"/>
      <c r="I228" s="56" t="s"/>
      <c r="J228" s="56" t="s"/>
      <c r="K228" s="302" t="s"/>
      <c r="L228" s="303" t="s"/>
      <c r="M228" s="303" t="s"/>
      <c r="N228" s="56" t="s"/>
      <c r="O228" s="310" t="s"/>
      <c r="P228" s="311" t="s"/>
      <c r="Q228" s="305" t="s"/>
      <c r="R228" s="312" t="s"/>
      <c r="S228" s="312" t="s"/>
      <c r="T228" s="224" t="s"/>
      <c r="U228" s="224" t="s"/>
      <c r="V228" s="224" t="s"/>
      <c r="W228" s="224" t="s"/>
      <c r="X228" s="224" t="s"/>
      <c r="Y228" s="224" t="s"/>
      <c r="Z228" s="224" t="s"/>
      <c r="AA228" s="56" t="s"/>
      <c r="AB228" s="56" t="s"/>
      <c r="AC228" s="56" t="s"/>
      <c r="AD228" s="56" t="s"/>
    </row>
    <row r="229" spans="5:30">
      <c r="E229" s="313" t="s"/>
      <c r="T229" s="224" t="s"/>
      <c r="U229" s="224" t="s"/>
      <c r="V229" s="224" t="s"/>
      <c r="W229" s="224" t="s"/>
      <c r="X229" s="224" t="s"/>
      <c r="Y229" s="224" t="s"/>
      <c r="Z229" s="224" t="s"/>
      <c r="AA229" s="56" t="s"/>
      <c r="AB229" s="56" t="s"/>
      <c r="AC229" s="56" t="s"/>
      <c r="AD229" s="56" t="s"/>
    </row>
    <row r="230" spans="5:30">
      <c r="E230" s="313" t="s"/>
      <c r="T230" s="224" t="s"/>
      <c r="U230" s="224" t="s"/>
      <c r="V230" s="224" t="s"/>
      <c r="W230" s="224" t="s"/>
      <c r="X230" s="224" t="s"/>
      <c r="Y230" s="224" t="s"/>
      <c r="Z230" s="224" t="s"/>
      <c r="AA230" s="56" t="s"/>
      <c r="AB230" s="56" t="s"/>
      <c r="AC230" s="56" t="s"/>
      <c r="AD230" s="56" t="s"/>
    </row>
    <row r="231" spans="5:30">
      <c r="E231" s="313" t="s"/>
      <c r="T231" s="224" t="s"/>
      <c r="U231" s="224" t="s"/>
      <c r="V231" s="224" t="s"/>
      <c r="W231" s="224" t="s"/>
      <c r="X231" s="224" t="s"/>
      <c r="Y231" s="224" t="s"/>
      <c r="Z231" s="224" t="s"/>
      <c r="AA231" s="56" t="s"/>
      <c r="AB231" s="56" t="s"/>
      <c r="AC231" s="56" t="s"/>
      <c r="AD231" s="56" t="s"/>
    </row>
    <row r="232" spans="5:30">
      <c r="E232" s="313" t="s"/>
      <c r="T232" s="224" t="s"/>
      <c r="U232" s="224" t="s"/>
      <c r="V232" s="224" t="s"/>
      <c r="W232" s="224" t="s"/>
      <c r="X232" s="224" t="s"/>
      <c r="Y232" s="224" t="s"/>
      <c r="Z232" s="224" t="s"/>
      <c r="AA232" s="56" t="s"/>
      <c r="AB232" s="56" t="s"/>
      <c r="AC232" s="56" t="s"/>
      <c r="AD232" s="56" t="s"/>
    </row>
    <row r="233" spans="5:30">
      <c r="E233" s="313" t="s"/>
      <c r="T233" s="224" t="s"/>
      <c r="U233" s="224" t="s"/>
      <c r="V233" s="224" t="s"/>
      <c r="W233" s="224" t="s"/>
      <c r="X233" s="224" t="s"/>
      <c r="Y233" s="224" t="s"/>
      <c r="Z233" s="224" t="s"/>
      <c r="AA233" s="56" t="s"/>
      <c r="AB233" s="56" t="s"/>
      <c r="AC233" s="56" t="s"/>
      <c r="AD233" s="56" t="s"/>
    </row>
    <row r="234" spans="5:30">
      <c r="E234" s="313" t="s"/>
      <c r="T234" s="224" t="s"/>
      <c r="U234" s="224" t="s"/>
      <c r="V234" s="224" t="s"/>
      <c r="W234" s="224" t="s"/>
      <c r="X234" s="224" t="s"/>
      <c r="Y234" s="224" t="s"/>
      <c r="Z234" s="224" t="s"/>
      <c r="AA234" s="56" t="s"/>
      <c r="AB234" s="56" t="s"/>
      <c r="AC234" s="56" t="s"/>
      <c r="AD234" s="56" t="s"/>
    </row>
    <row r="235" spans="5:30">
      <c r="E235" s="313" t="s"/>
      <c r="T235" s="224" t="s"/>
      <c r="U235" s="224" t="s"/>
      <c r="V235" s="224" t="s"/>
      <c r="W235" s="224" t="s"/>
      <c r="X235" s="224" t="s"/>
      <c r="Y235" s="224" t="s"/>
      <c r="Z235" s="224" t="s"/>
      <c r="AA235" s="56" t="s"/>
      <c r="AB235" s="56" t="s"/>
      <c r="AC235" s="56" t="s"/>
      <c r="AD235" s="56" t="s"/>
    </row>
    <row r="236" spans="5:30">
      <c r="E236" s="313" t="s"/>
      <c r="T236" s="224" t="s"/>
      <c r="U236" s="224" t="s"/>
      <c r="V236" s="224" t="s"/>
      <c r="W236" s="224" t="s"/>
      <c r="X236" s="224" t="s"/>
      <c r="Y236" s="224" t="s"/>
      <c r="Z236" s="224" t="s"/>
      <c r="AA236" s="56" t="s"/>
      <c r="AB236" s="56" t="s"/>
      <c r="AC236" s="56" t="s"/>
      <c r="AD236" s="56" t="s"/>
    </row>
    <row r="237" spans="5:30">
      <c r="E237" s="313" t="s"/>
      <c r="T237" s="224" t="s"/>
      <c r="U237" s="224" t="s"/>
      <c r="V237" s="224" t="s"/>
      <c r="W237" s="224" t="s"/>
      <c r="X237" s="224" t="s"/>
      <c r="Y237" s="224" t="s"/>
      <c r="Z237" s="224" t="s"/>
      <c r="AA237" s="56" t="s"/>
      <c r="AB237" s="56" t="s"/>
      <c r="AC237" s="56" t="s"/>
      <c r="AD237" s="56" t="s"/>
    </row>
    <row r="238" spans="5:30">
      <c r="E238" s="313" t="s"/>
      <c r="T238" s="224" t="s"/>
      <c r="U238" s="224" t="s"/>
      <c r="V238" s="224" t="s"/>
      <c r="W238" s="224" t="s"/>
      <c r="X238" s="224" t="s"/>
      <c r="Y238" s="224" t="s"/>
      <c r="Z238" s="224" t="s"/>
      <c r="AA238" s="56" t="s"/>
      <c r="AB238" s="56" t="s"/>
      <c r="AC238" s="56" t="s"/>
      <c r="AD238" s="56" t="s"/>
    </row>
    <row r="239" spans="5:30">
      <c r="E239" s="313" t="s"/>
      <c r="T239" s="224" t="s"/>
      <c r="U239" s="224" t="s"/>
      <c r="V239" s="224" t="s"/>
      <c r="W239" s="224" t="s"/>
      <c r="X239" s="224" t="s"/>
      <c r="Y239" s="224" t="s"/>
      <c r="Z239" s="224" t="s"/>
      <c r="AA239" s="56" t="s"/>
      <c r="AB239" s="56" t="s"/>
      <c r="AC239" s="56" t="s"/>
      <c r="AD239" s="56" t="s"/>
    </row>
    <row r="240" spans="5:30">
      <c r="E240" s="313" t="s"/>
      <c r="T240" s="224" t="s"/>
      <c r="U240" s="224" t="s"/>
      <c r="V240" s="224" t="s"/>
      <c r="W240" s="224" t="s"/>
      <c r="X240" s="224" t="s"/>
      <c r="Y240" s="224" t="s"/>
      <c r="Z240" s="224" t="s"/>
      <c r="AA240" s="56" t="s"/>
      <c r="AB240" s="56" t="s"/>
      <c r="AC240" s="56" t="s"/>
      <c r="AD240" s="56" t="s"/>
    </row>
    <row r="241" spans="1:5">
      <c r="A241" s="314" t="s"/>
      <c r="B241" s="314" t="s"/>
      <c r="E241" s="313" t="s"/>
    </row>
    <row r="242" spans="5:5">
      <c r="E242" s="313" t="s"/>
    </row>
    <row r="243" spans="5:5">
      <c r="E243" s="313" t="s"/>
    </row>
  </sheetData>
  <customSheetViews>
    <customSheetView guid="{774647DF-8E7C-437D-9AD3-91F9E72D5A0E}" filter="0" showAutoFilter="1" hiddenRows="1" hiddenColumns="1">
      <autoFilter ref="N1:N111">
        <sortState ref="N2:N111"/>
      </autoFilter>
    </customSheetView>
  </customSheetViews>
  <mergeCells count="1">
    <mergeCell ref="A109:Q111"/>
  </mergeCells>
  <conditionalFormatting sqref="I112">
    <cfRule type="cellIs" dxfId="0" priority="1" operator="lessThan">
      <formula>0</formula>
    </cfRule>
  </conditionalFormatting>
  <conditionalFormatting sqref="I112">
    <cfRule type="cellIs" dxfId="1" priority="2" operator="greaterThan">
      <formula>0</formula>
    </cfRule>
  </conditionalFormatting>
  <dataValidations>
    <dataValidation type="list" errorStyle="stop" allowBlank="1" showDropDown="0" showInputMessage="1" showErrorMessage="1" prompt="" sqref="A126:A133">
      <formula1>"部门券,郑一凡,王立德,唐一夫,黄芷晴,巩让,赵梓萱,陈珍妮,"</formula1>
    </dataValidation>
    <dataValidation type="list" errorStyle="stop" allowBlank="1" showDropDown="0" showInputMessage="1" showErrorMessage="1" prompt="" sqref="A134">
      <formula1>"部门券,郑一凡,王立德,唐一夫,黄芷晴,巩让,赵梓萱,陈珍妮,李新鹏,"</formula1>
    </dataValidation>
    <dataValidation type="list" errorStyle="stop" allowBlank="1" showDropDown="0" showInputMessage="1" showErrorMessage="1" prompt="" sqref="F3:F34">
      <formula1>"AAA,AA+,AA,AA-,"</formula1>
    </dataValidation>
    <dataValidation type="list" errorStyle="stop" showInputMessage="1" showErrorMessage="1" prompt="" sqref="F35:F36">
      <formula1>"AAA,AA+,AA,AA-,"</formula1>
      <formula2/>
    </dataValidation>
    <dataValidation type="list" errorStyle="stop" allowBlank="1" showDropDown="0" showInputMessage="1" showErrorMessage="1" prompt="" sqref="F37:F75">
      <formula1>"AAA,AA+,AA,AA-,"</formula1>
    </dataValidation>
    <dataValidation type="list" errorStyle="stop" showInputMessage="1" showErrorMessage="1" prompt="" sqref="F77:F100">
      <formula1>"AAA,AA+,AA,AA-,"</formula1>
      <formula2/>
    </dataValidation>
    <dataValidation type="list" errorStyle="stop" allowBlank="1" showDropDown="0" showInputMessage="1" showErrorMessage="1" prompt="" sqref="F107">
      <formula1>"AAA,AA+,AA,AA-,"</formula1>
    </dataValidation>
    <dataValidation type="list" errorStyle="stop" allowBlank="1" showDropDown="0" showInputMessage="1" showErrorMessage="1" prompt="" sqref="G3:G34">
      <formula1>"有舆情,降/停止评级,票交所违约,无,"</formula1>
    </dataValidation>
    <dataValidation type="list" errorStyle="stop" showInputMessage="1" showErrorMessage="1" prompt="" sqref="G35:G36">
      <formula1>"有舆情,降/停止评级,票交所违约,无,"</formula1>
      <formula2/>
    </dataValidation>
    <dataValidation type="list" errorStyle="stop" allowBlank="1" showDropDown="0" showInputMessage="1" showErrorMessage="1" prompt="" sqref="G37:G71">
      <formula1>"有舆情,降/停止评级,票交所违约,无,"</formula1>
    </dataValidation>
    <dataValidation type="list" errorStyle="stop" allowBlank="1" showDropDown="0" showInputMessage="1" showErrorMessage="1" prompt="" sqref="G76:G100">
      <formula1>"有舆情,降/停止评级,票交所违约,无,"</formula1>
    </dataValidation>
    <dataValidation type="list" errorStyle="stop" showInputMessage="1" showErrorMessage="1" prompt="" sqref="G107">
      <formula1>"担保,非担保,"</formula1>
      <formula2/>
    </dataValidation>
    <dataValidation type="list" errorStyle="stop" showInputMessage="1" showErrorMessage="1" prompt="" sqref="H3:H75">
      <formula1>"担保,非担保,"</formula1>
      <formula2/>
    </dataValidation>
    <dataValidation type="list" errorStyle="stop" showInputMessage="1" showErrorMessage="1" prompt="" sqref="H77:H100">
      <formula1>"担保,非担保,"</formula1>
      <formula2/>
    </dataValidation>
    <dataValidation type="list" errorStyle="stop" showInputMessage="1" showErrorMessage="1" prompt="" sqref="H107">
      <formula1>"担保,非担保,"</formula1>
      <formula2/>
    </dataValidation>
    <dataValidation type="list" errorStyle="stop" allowBlank="1" showDropDown="0" showInputMessage="1" showErrorMessage="1" prompt="" sqref="N3:N34">
      <formula1>"部门券,郑一凡,王立德,唐一夫,黄芷晴,巩让,赵梓萱,陈珍妮,李新鹏,"</formula1>
    </dataValidation>
    <dataValidation type="list" errorStyle="stop" showInputMessage="1" showErrorMessage="1" prompt="" sqref="N35:N36">
      <formula1>"部门券,郑一凡,王立德,唐一夫,黄芷晴,巩让,赵梓萱,陈珍妮,李新鹏,"</formula1>
      <formula2/>
    </dataValidation>
    <dataValidation type="list" errorStyle="stop" allowBlank="1" showDropDown="0" showInputMessage="1" showErrorMessage="1" prompt="" sqref="N37:N75">
      <formula1>"部门券,郑一凡,王立德,唐一夫,黄芷晴,巩让,赵梓萱,陈珍妮,李新鹏,"</formula1>
    </dataValidation>
    <dataValidation type="list" errorStyle="stop" showInputMessage="1" showErrorMessage="1" prompt="" sqref="N77:N100">
      <formula1>"部门券,郑一凡,王立德,唐一夫,黄芷晴,巩让,赵梓萱,陈珍妮,"</formula1>
      <formula2/>
    </dataValidation>
    <dataValidation type="list" errorStyle="stop" allowBlank="1" showDropDown="0" showInputMessage="1" showErrorMessage="1" prompt="" sqref="N107">
      <formula1>"部门券,郑一凡,王立德,唐一夫,黄芷晴,巩让,赵梓萱,陈珍妮,"</formula1>
    </dataValidation>
    <dataValidation type="list" errorStyle="stop" allowBlank="1" showDropDown="0" showInputMessage="1" showErrorMessage="1" prompt="" sqref="V101:V104">
      <formula1>"部门券,郑一凡,王立德,唐一夫,黄芷晴,巩让,赵梓萱,陈珍妮,"</formula1>
    </dataValidation>
    <dataValidation type="list" errorStyle="stop" allowBlank="1" showDropDown="0" showInputMessage="1" showErrorMessage="1" prompt="" sqref="X76">
      <formula1>"部门券,郑一凡,王立德,唐一夫,黄芷晴,巩让,赵梓萱,陈珍妮,"</formula1>
    </dataValidation>
    <dataValidation type="list" errorStyle="stop" allowBlank="1" showDropDown="0" showInputMessage="1" showErrorMessage="1" prompt="" sqref="X101:X110">
      <formula1>"部门券,郑一凡,王立德,唐一夫,黄芷晴,巩让,赵梓萱,陈珍妮,"</formula1>
    </dataValidation>
  </dataValidations>
</worksheet>
</file>

<file path=xl/worksheets/sheet2.xml><?xml version="1.0" encoding="utf-8"?>
<worksheet xmlns="http://schemas.openxmlformats.org/spreadsheetml/2006/main">
  <sheetPr codeName="【资金占用积数统计表】">
    <tabColor/>
  </sheetPr>
  <dimension ref="I1048"/>
  <sheetViews>
    <sheetView showGridLines="1" workbookViewId="0">
      <pane ySplit="5" topLeftCell="A6" state="frozen"/>
    </sheetView>
  </sheetViews>
  <sheetFormatPr baseColWidth="13" defaultRowHeight="18" customHeight="1"/>
  <cols>
    <col min="1" max="1" width="12.0039" style="316" customWidth="1"/>
    <col min="2" max="2" width="18.8828" style="764" customWidth="1"/>
    <col min="3" max="3" width="22.9336" style="764" customWidth="1"/>
    <col min="4" max="4" width="26.5742" style="764" customWidth="1"/>
    <col min="5" max="5" width="32.5039" style="765" customWidth="1"/>
    <col min="6" max="6" width="19.4219" style="766" customWidth="1"/>
    <col min="7" max="7" width="21.582" style="767" customWidth="1"/>
    <col min="8" max="8" width="20.6328" style="86" customWidth="1"/>
    <col min="9" max="9" width="17.9414" style="768" customWidth="1"/>
    <col min="10" max="10" width="20.6328" style="769" customWidth="1"/>
    <col min="11" max="11" width="25.293" style="86" customWidth="1"/>
  </cols>
  <sheetData>
    <row r="1" spans="1:9" ht="27" customHeight="1">
      <c r="A1" s="315" t="s">
        <v>2412</v>
      </c>
      <c r="B1" s="316" t="s"/>
      <c r="C1" s="316" t="s"/>
      <c r="D1" s="316" t="s"/>
      <c r="E1" s="316" t="s"/>
      <c r="F1" s="316" t="s"/>
      <c r="G1" s="316" t="s"/>
      <c r="H1" s="317" t="s"/>
      <c r="I1" s="318" t="s"/>
    </row>
    <row r="2" spans="1:11" ht="33" customHeight="1">
      <c r="A2" s="319" t="s">
        <v>265</v>
      </c>
      <c r="B2" s="320" t="s">
        <v>281</v>
      </c>
      <c r="C2" s="320" t="s">
        <v>282</v>
      </c>
      <c r="D2" s="320" t="s">
        <v>283</v>
      </c>
      <c r="E2" s="321" t="s">
        <v>284</v>
      </c>
      <c r="F2" s="322" t="s">
        <v>285</v>
      </c>
      <c r="G2" s="323" t="s">
        <v>286</v>
      </c>
      <c r="I2" s="318" t="s">
        <v>287</v>
      </c>
      <c r="J2" s="324" t="s">
        <v>288</v>
      </c>
      <c r="K2" s="324">
        <f>SUM(J:J)</f>
        <v>18648734.321272</v>
      </c>
    </row>
    <row r="3" spans="1:12" ht="33" customHeight="1">
      <c r="A3" s="325" t="s"/>
      <c r="B3" s="326" t="s">
        <v>289</v>
      </c>
      <c r="C3" s="326" t="s">
        <v>290</v>
      </c>
      <c r="D3" s="326" t="s">
        <v>291</v>
      </c>
      <c r="E3" s="327" t="s">
        <v>292</v>
      </c>
      <c r="F3" s="328" t="s"/>
      <c r="G3" s="329" t="s">
        <v>293</v>
      </c>
      <c r="H3" s="317" t="s"/>
      <c r="I3" s="318" t="s"/>
      <c r="J3" s="330" t="s">
        <v>294</v>
      </c>
      <c r="K3" s="324">
        <v>1226591.67</v>
      </c>
      <c r="L3" s="331" t="s">
        <v>295</v>
      </c>
    </row>
    <row r="4" spans="1:11" ht="25.5" customHeight="1">
      <c r="A4" s="325" t="s"/>
      <c r="B4" s="326" t="s"/>
      <c r="C4" s="326" t="s"/>
      <c r="D4" s="326" t="s"/>
      <c r="E4" s="327" t="s"/>
      <c r="F4" s="328" t="s"/>
      <c r="G4" s="329" t="s"/>
      <c r="H4" s="317" t="s"/>
      <c r="I4" s="332" t="s"/>
      <c r="J4" s="324" t="s">
        <v>296</v>
      </c>
      <c r="K4" s="324">
        <v>-192952.5</v>
      </c>
    </row>
    <row r="5" spans="1:11" ht="25.5" customHeight="1">
      <c r="A5" s="325" t="s"/>
      <c r="B5" s="326" t="s"/>
      <c r="C5" s="326" t="s"/>
      <c r="D5" s="326" t="s"/>
      <c r="E5" s="327" t="s"/>
      <c r="F5" s="328" t="s"/>
      <c r="G5" s="329" t="s"/>
      <c r="H5" s="317" t="s"/>
      <c r="I5" s="332" t="s"/>
      <c r="J5" s="324" t="s">
        <v>297</v>
      </c>
      <c r="K5" s="324">
        <f>K3+K2+K4</f>
        <v>19682373.491272</v>
      </c>
    </row>
    <row r="6" spans="1:11" s="763" customFormat="1" ht="27" customHeight="1">
      <c r="A6" s="333">
        <v>46023</v>
      </c>
      <c r="B6" s="334" t="s">
        <v>209</v>
      </c>
      <c r="C6" s="335" t="s">
        <v>209</v>
      </c>
      <c r="D6" s="335" t="s">
        <v>209</v>
      </c>
      <c r="E6" s="336" t="s"/>
      <c r="F6" s="337">
        <f>SUM(B6:E6)</f>
        <v>0</v>
      </c>
      <c r="G6" s="338">
        <v>962228411.5</v>
      </c>
      <c r="H6" s="339" t="s"/>
      <c r="I6" s="340">
        <v>0.022634</v>
      </c>
      <c r="J6" s="341">
        <f>G6*I6/365</f>
        <v>59668.7064818932</v>
      </c>
      <c r="K6" s="342">
        <v>1729284.72</v>
      </c>
    </row>
    <row r="7" spans="1:10">
      <c r="A7" s="333">
        <v>46024</v>
      </c>
      <c r="B7" s="334" t="s">
        <v>209</v>
      </c>
      <c r="C7" s="335" t="s">
        <v>209</v>
      </c>
      <c r="D7" s="335" t="s">
        <v>209</v>
      </c>
      <c r="F7" s="337">
        <f>SUM(B7:E7)</f>
        <v>0</v>
      </c>
      <c r="G7" s="343">
        <f>G6+F7</f>
        <v>962228411.5</v>
      </c>
      <c r="H7" s="317" t="s"/>
      <c r="I7" s="344">
        <v>0.022634</v>
      </c>
      <c r="J7" s="323">
        <f>G7*I7/365</f>
        <v>59668.7064818932</v>
      </c>
    </row>
    <row r="8" spans="1:10">
      <c r="A8" s="333">
        <v>46025</v>
      </c>
      <c r="B8" s="345" t="s">
        <v>209</v>
      </c>
      <c r="C8" s="346" t="s">
        <v>209</v>
      </c>
      <c r="D8" s="346" t="s">
        <v>209</v>
      </c>
      <c r="F8" s="337">
        <f>SUM(B8:E8)</f>
        <v>0</v>
      </c>
      <c r="G8" s="343">
        <f>G7+F8</f>
        <v>962228411.5</v>
      </c>
      <c r="H8" s="317" t="s"/>
      <c r="I8" s="344">
        <v>0.022634</v>
      </c>
      <c r="J8" s="323">
        <f>G8*I8/365</f>
        <v>59668.7064818932</v>
      </c>
    </row>
    <row r="9" spans="1:10">
      <c r="A9" s="333">
        <v>46026</v>
      </c>
      <c r="B9" s="345" t="s">
        <v>209</v>
      </c>
      <c r="C9" s="346" t="s">
        <v>209</v>
      </c>
      <c r="D9" s="346" t="s">
        <v>209</v>
      </c>
      <c r="F9" s="337">
        <f>SUM(B9:E9)</f>
        <v>0</v>
      </c>
      <c r="G9" s="343">
        <f>G8+F9</f>
        <v>962228411.5</v>
      </c>
      <c r="H9" s="317" t="s"/>
      <c r="I9" s="344">
        <v>0.022634</v>
      </c>
      <c r="J9" s="323">
        <f>G9*I9/365</f>
        <v>59668.7064818932</v>
      </c>
    </row>
    <row r="10" spans="1:10">
      <c r="A10" s="333">
        <v>46027</v>
      </c>
      <c r="B10" s="347" t="s">
        <v>298</v>
      </c>
      <c r="C10" s="346">
        <v>-168500</v>
      </c>
      <c r="D10" s="346">
        <v>-35348285.76</v>
      </c>
      <c r="E10" s="348" t="s">
        <v>299</v>
      </c>
      <c r="F10" s="337">
        <f>SUM(B10:E10)</f>
        <v>-35516785.76</v>
      </c>
      <c r="G10" s="343">
        <f>G9+F10</f>
        <v>926711625.74</v>
      </c>
      <c r="H10" s="317" t="s">
        <v>300</v>
      </c>
      <c r="I10" s="344">
        <v>0.022634</v>
      </c>
      <c r="J10" s="323">
        <f>G10*I10/365</f>
        <v>57466.2765397237</v>
      </c>
    </row>
    <row r="11" spans="1:10">
      <c r="A11" s="333">
        <v>46028</v>
      </c>
      <c r="B11" s="347">
        <v>1408915.85</v>
      </c>
      <c r="C11" s="346" t="s">
        <v>209</v>
      </c>
      <c r="D11" s="346">
        <v>-6560805.07</v>
      </c>
      <c r="E11" s="349" t="s">
        <v>301</v>
      </c>
      <c r="F11" s="337">
        <f>SUM(B11:E11)</f>
        <v>-5151889.22</v>
      </c>
      <c r="G11" s="343">
        <f>G10+F11</f>
        <v>921559736.52</v>
      </c>
      <c r="H11" s="317" t="s"/>
      <c r="I11" s="344">
        <v>0.022871</v>
      </c>
      <c r="J11" s="323">
        <f>G11*I11/365</f>
        <v>57745.1855724628</v>
      </c>
    </row>
    <row r="12" spans="1:10">
      <c r="A12" s="333">
        <v>46029</v>
      </c>
      <c r="B12" s="345">
        <v>-7110</v>
      </c>
      <c r="C12" s="346">
        <v>-2600</v>
      </c>
      <c r="D12" s="346">
        <v>25672748.61</v>
      </c>
      <c r="E12" s="350" t="s">
        <v>302</v>
      </c>
      <c r="F12" s="337">
        <f>SUM(B12:E12)</f>
        <v>25663038.61</v>
      </c>
      <c r="G12" s="343">
        <f>G11+F12</f>
        <v>947222775.13</v>
      </c>
      <c r="H12" s="317" t="s"/>
      <c r="I12" s="344">
        <v>0.022871</v>
      </c>
      <c r="J12" s="323">
        <f>G12*I12/365</f>
        <v>59353.2386027349</v>
      </c>
    </row>
    <row r="13" spans="1:10">
      <c r="A13" s="333">
        <v>46030</v>
      </c>
      <c r="B13" s="345">
        <v>-80953305.48</v>
      </c>
      <c r="C13" s="346">
        <v>-696000</v>
      </c>
      <c r="D13" s="346">
        <v>-51047469.26</v>
      </c>
      <c r="E13" s="350" t="s">
        <v>303</v>
      </c>
      <c r="F13" s="337">
        <f>SUM(B13:E13)</f>
        <v>-132696774.74</v>
      </c>
      <c r="G13" s="343">
        <f>G12+F13</f>
        <v>814526000.39</v>
      </c>
      <c r="H13" s="317" t="s">
        <v>304</v>
      </c>
      <c r="I13" s="344">
        <v>0.022871</v>
      </c>
      <c r="J13" s="323">
        <f>G13*I13/365</f>
        <v>51038.4223422457</v>
      </c>
    </row>
    <row r="14" spans="1:10">
      <c r="A14" s="333">
        <v>46031</v>
      </c>
      <c r="B14" s="345">
        <v>-113742020.21</v>
      </c>
      <c r="C14" s="346" t="s">
        <v>209</v>
      </c>
      <c r="D14" s="346">
        <v>-26142382.86</v>
      </c>
      <c r="E14" s="351" t="s">
        <v>305</v>
      </c>
      <c r="F14" s="337">
        <f>SUM(B14:E14)</f>
        <v>-139884403.07</v>
      </c>
      <c r="G14" s="343">
        <f>G13+F14</f>
        <v>674641597.32</v>
      </c>
      <c r="H14" s="317" t="s"/>
      <c r="I14" s="344">
        <v>0.022871</v>
      </c>
      <c r="J14" s="323">
        <f>G14*I14/365</f>
        <v>42273.2273213855</v>
      </c>
    </row>
    <row r="15" spans="1:10">
      <c r="A15" s="333">
        <v>46032</v>
      </c>
      <c r="B15" s="345" t="s">
        <v>209</v>
      </c>
      <c r="C15" s="346" t="s">
        <v>209</v>
      </c>
      <c r="D15" s="346" t="s">
        <v>209</v>
      </c>
      <c r="E15" s="352" t="s">
        <v>209</v>
      </c>
      <c r="F15" s="337">
        <f>SUM(B15:E15)</f>
        <v>0</v>
      </c>
      <c r="G15" s="343">
        <f>G14+F15</f>
        <v>674641597.32</v>
      </c>
      <c r="H15" s="317" t="s"/>
      <c r="I15" s="344">
        <v>0.022871</v>
      </c>
      <c r="J15" s="323">
        <f>G15*I15/365</f>
        <v>42273.2273213855</v>
      </c>
    </row>
    <row r="16" spans="1:10">
      <c r="A16" s="333">
        <v>46033</v>
      </c>
      <c r="B16" s="345" t="s">
        <v>209</v>
      </c>
      <c r="C16" s="346" t="s">
        <v>209</v>
      </c>
      <c r="D16" s="346" t="s">
        <v>209</v>
      </c>
      <c r="E16" s="353" t="s">
        <v>209</v>
      </c>
      <c r="F16" s="337">
        <f>SUM(B16:E16)</f>
        <v>0</v>
      </c>
      <c r="G16" s="343">
        <f>G15+F16</f>
        <v>674641597.32</v>
      </c>
      <c r="H16" s="317" t="s"/>
      <c r="I16" s="344">
        <v>0.022871</v>
      </c>
      <c r="J16" s="323">
        <f>G16*I16/365</f>
        <v>42273.2273213855</v>
      </c>
    </row>
    <row r="17" spans="1:10">
      <c r="A17" s="333">
        <v>46034</v>
      </c>
      <c r="B17" s="345">
        <v>-3780</v>
      </c>
      <c r="C17" s="346" t="s">
        <v>306</v>
      </c>
      <c r="D17" s="346">
        <v>-54198818.49</v>
      </c>
      <c r="E17" s="350" t="s">
        <v>307</v>
      </c>
      <c r="F17" s="337">
        <f>SUM(B17:E17)</f>
        <v>-54202598.49</v>
      </c>
      <c r="G17" s="343">
        <f>G16+F17</f>
        <v>620438998.83</v>
      </c>
      <c r="H17" s="317" t="s"/>
      <c r="I17" s="344">
        <v>0.022871</v>
      </c>
      <c r="J17" s="323">
        <f>G17*I17/365</f>
        <v>38876.8776499752</v>
      </c>
    </row>
    <row r="18" spans="1:10">
      <c r="A18" s="333">
        <v>46035</v>
      </c>
      <c r="B18" s="345">
        <v>-30704973.97</v>
      </c>
      <c r="C18" s="346" t="s">
        <v>306</v>
      </c>
      <c r="D18" s="346">
        <v>-1483584.93</v>
      </c>
      <c r="E18" s="350" t="s">
        <v>308</v>
      </c>
      <c r="F18" s="337">
        <f>SUM(B18:E18)</f>
        <v>-32188558.9</v>
      </c>
      <c r="G18" s="343">
        <f>G17+F18</f>
        <v>588250439.93</v>
      </c>
      <c r="H18" s="317" t="s"/>
      <c r="I18" s="344">
        <v>0.022871</v>
      </c>
      <c r="J18" s="323">
        <f>G18*I18/365</f>
        <v>36859.9337305179</v>
      </c>
    </row>
    <row r="19" spans="1:10">
      <c r="A19" s="333">
        <v>46036</v>
      </c>
      <c r="B19" s="345">
        <v>69994050</v>
      </c>
      <c r="C19" s="346">
        <v>32402394.73</v>
      </c>
      <c r="D19" s="346">
        <v>-3086963.71</v>
      </c>
      <c r="E19" s="350" t="s">
        <v>309</v>
      </c>
      <c r="F19" s="337">
        <f>SUM(B19:E19)</f>
        <v>99309481.02</v>
      </c>
      <c r="G19" s="343">
        <f>G18+F19</f>
        <v>687559920.95</v>
      </c>
      <c r="H19" s="317" t="s"/>
      <c r="I19" s="344">
        <v>0.022875</v>
      </c>
      <c r="J19" s="323">
        <f>G19*I19/365</f>
        <v>43090.2279225514</v>
      </c>
    </row>
    <row r="20" spans="1:10">
      <c r="A20" s="333">
        <v>46037</v>
      </c>
      <c r="B20" s="345">
        <v>14986000</v>
      </c>
      <c r="C20" s="346">
        <v>2030700</v>
      </c>
      <c r="D20" s="346">
        <v>-22652049.3</v>
      </c>
      <c r="E20" s="350" t="s">
        <v>310</v>
      </c>
      <c r="F20" s="337">
        <f>SUM(B20:E20)</f>
        <v>-5635349.3</v>
      </c>
      <c r="G20" s="343">
        <f>G19+F20</f>
        <v>681924571.65</v>
      </c>
      <c r="H20" s="317" t="s"/>
      <c r="I20" s="344">
        <v>0.022875</v>
      </c>
      <c r="J20" s="323">
        <f>G20*I20/365</f>
        <v>42737.0536342295</v>
      </c>
    </row>
    <row r="21" spans="1:10">
      <c r="A21" s="333">
        <v>46038</v>
      </c>
      <c r="B21" s="345">
        <v>14982005.48</v>
      </c>
      <c r="C21" s="346" t="s">
        <v>209</v>
      </c>
      <c r="D21" s="354">
        <v>117056214.91</v>
      </c>
      <c r="E21" s="350" t="s">
        <v>311</v>
      </c>
      <c r="F21" s="337">
        <f>SUM(B21:E21)</f>
        <v>132038220.39</v>
      </c>
      <c r="G21" s="343">
        <f>G20+F21</f>
        <v>813962792.04</v>
      </c>
      <c r="H21" s="317" t="s"/>
      <c r="I21" s="344">
        <v>0.022875</v>
      </c>
      <c r="J21" s="323">
        <f>G21*I21/365</f>
        <v>51012.0516929178</v>
      </c>
    </row>
    <row r="22" spans="1:10">
      <c r="A22" s="333">
        <v>46039</v>
      </c>
      <c r="B22" s="345" t="s">
        <v>209</v>
      </c>
      <c r="C22" s="346" t="s">
        <v>209</v>
      </c>
      <c r="D22" s="346" t="s">
        <v>209</v>
      </c>
      <c r="E22" s="353" t="s">
        <v>209</v>
      </c>
      <c r="F22" s="337">
        <f>SUM(B22:E22)</f>
        <v>0</v>
      </c>
      <c r="G22" s="343">
        <f>G21+F22</f>
        <v>813962792.04</v>
      </c>
      <c r="H22" s="317" t="s"/>
      <c r="I22" s="344">
        <v>0.022875</v>
      </c>
      <c r="J22" s="323">
        <f>G22*I22/365</f>
        <v>51012.0516929178</v>
      </c>
    </row>
    <row r="23" spans="1:10">
      <c r="A23" s="333">
        <v>46040</v>
      </c>
      <c r="B23" s="345" t="s">
        <v>209</v>
      </c>
      <c r="C23" s="346" t="s">
        <v>209</v>
      </c>
      <c r="D23" s="346" t="s">
        <v>209</v>
      </c>
      <c r="E23" s="353" t="s">
        <v>209</v>
      </c>
      <c r="F23" s="337">
        <f>SUM(B23:E23)</f>
        <v>0</v>
      </c>
      <c r="G23" s="343">
        <f>G22+F23</f>
        <v>813962792.04</v>
      </c>
      <c r="H23" s="317" t="s"/>
      <c r="I23" s="344">
        <v>0.022875</v>
      </c>
      <c r="J23" s="323">
        <f>G23*I23/365</f>
        <v>51012.0516929178</v>
      </c>
    </row>
    <row r="24" spans="1:10">
      <c r="A24" s="333">
        <v>46041</v>
      </c>
      <c r="B24" s="345">
        <v>-10068729.86</v>
      </c>
      <c r="C24" s="346">
        <v>-480010</v>
      </c>
      <c r="D24" s="346">
        <v>15543730.15</v>
      </c>
      <c r="E24" s="350" t="s">
        <v>312</v>
      </c>
      <c r="F24" s="337">
        <f>SUM(B24:E24)</f>
        <v>4994990.29</v>
      </c>
      <c r="G24" s="343">
        <f>G23+F24</f>
        <v>818957782.33</v>
      </c>
      <c r="H24" s="317" t="s">
        <v>313</v>
      </c>
      <c r="I24" s="344">
        <v>0.022875</v>
      </c>
      <c r="J24" s="323">
        <f>G24*I24/365</f>
        <v>51325.0938925993</v>
      </c>
    </row>
    <row r="25" spans="1:10">
      <c r="A25" s="333">
        <v>46042</v>
      </c>
      <c r="B25" s="345">
        <v>9990330</v>
      </c>
      <c r="C25" s="346">
        <v>-100</v>
      </c>
      <c r="D25" s="346">
        <v>79524312.18</v>
      </c>
      <c r="E25" s="355" t="s"/>
      <c r="F25" s="337">
        <f>SUM(B25:E25)</f>
        <v>89514542.18</v>
      </c>
      <c r="G25" s="343">
        <f>G24+F25</f>
        <v>908472324.51</v>
      </c>
      <c r="H25" s="317" t="s"/>
      <c r="I25" s="344">
        <v>0.022875</v>
      </c>
      <c r="J25" s="323">
        <f>G25*I25/365</f>
        <v>56935.0806114144</v>
      </c>
    </row>
    <row r="26" spans="1:10">
      <c r="A26" s="333">
        <v>46043</v>
      </c>
      <c r="B26" s="345">
        <v>19886320</v>
      </c>
      <c r="C26" s="346">
        <v>9986072.6</v>
      </c>
      <c r="D26" s="346">
        <v>-25217097.94</v>
      </c>
      <c r="E26" s="355" t="s"/>
      <c r="F26" s="337">
        <f>SUM(B26:E26)</f>
        <v>4655294.66</v>
      </c>
      <c r="G26" s="343">
        <f>G25+F26</f>
        <v>913127619.17</v>
      </c>
      <c r="H26" s="317" t="s"/>
      <c r="I26" s="344">
        <v>0.022876</v>
      </c>
      <c r="J26" s="323">
        <f>G26*I26/365</f>
        <v>57229.3353866655</v>
      </c>
    </row>
    <row r="27" spans="1:10">
      <c r="A27" s="333">
        <v>46044</v>
      </c>
      <c r="B27" s="345">
        <v>-563416.44</v>
      </c>
      <c r="C27" s="346">
        <v>-5002547.95</v>
      </c>
      <c r="D27" s="346">
        <v>-65714493.85</v>
      </c>
      <c r="E27" s="355" t="s"/>
      <c r="F27" s="337">
        <f>SUM(B27:E27)</f>
        <v>-71280458.24</v>
      </c>
      <c r="G27" s="343">
        <f>G26+F27</f>
        <v>841847160.93</v>
      </c>
      <c r="H27" s="317" t="s"/>
      <c r="I27" s="344">
        <v>0.022876</v>
      </c>
      <c r="J27" s="323">
        <f>G27*I27/365</f>
        <v>52761.905899821</v>
      </c>
    </row>
    <row r="28" spans="1:10">
      <c r="A28" s="333">
        <v>46045</v>
      </c>
      <c r="B28" s="345">
        <v>39913228.22</v>
      </c>
      <c r="C28" s="346">
        <v>-500</v>
      </c>
      <c r="D28" s="346">
        <v>-66894678.77</v>
      </c>
      <c r="E28" s="355" t="s"/>
      <c r="F28" s="337">
        <f>SUM(B28:E28)</f>
        <v>-26981950.55</v>
      </c>
      <c r="G28" s="343">
        <f>G27+F28</f>
        <v>814865210.38</v>
      </c>
      <c r="H28" s="317" t="s">
        <v>314</v>
      </c>
      <c r="I28" s="344">
        <v>0.022874</v>
      </c>
      <c r="J28" s="323">
        <f>G28*I28/365</f>
        <v>51066.3748554305</v>
      </c>
    </row>
    <row r="29" spans="1:10">
      <c r="A29" s="333">
        <v>46046</v>
      </c>
      <c r="B29" s="345" t="s">
        <v>209</v>
      </c>
      <c r="C29" s="346" t="s">
        <v>209</v>
      </c>
      <c r="D29" s="346" t="s">
        <v>209</v>
      </c>
      <c r="F29" s="337">
        <f>SUM(B29:E29)</f>
        <v>0</v>
      </c>
      <c r="G29" s="343">
        <f>G28+F29</f>
        <v>814865210.38</v>
      </c>
      <c r="H29" s="317" t="s"/>
      <c r="I29" s="344">
        <v>0.022874</v>
      </c>
      <c r="J29" s="323">
        <f>G29*I29/365</f>
        <v>51066.3748554305</v>
      </c>
    </row>
    <row r="30" spans="1:10">
      <c r="A30" s="333">
        <v>46047</v>
      </c>
      <c r="B30" s="345" t="s">
        <v>209</v>
      </c>
      <c r="C30" s="346" t="s">
        <v>209</v>
      </c>
      <c r="D30" s="346" t="s">
        <v>209</v>
      </c>
      <c r="F30" s="337">
        <f>SUM(B30:E30)</f>
        <v>0</v>
      </c>
      <c r="G30" s="343">
        <f>G29+F30</f>
        <v>814865210.38</v>
      </c>
      <c r="H30" s="317" t="s"/>
      <c r="I30" s="344">
        <v>0.022874</v>
      </c>
      <c r="J30" s="323">
        <f>G30*I30/365</f>
        <v>51066.3748554305</v>
      </c>
    </row>
    <row r="31" spans="1:10">
      <c r="A31" s="333">
        <v>46048</v>
      </c>
      <c r="B31" s="345">
        <v>-4240000</v>
      </c>
      <c r="C31" s="346">
        <v>20412304.12</v>
      </c>
      <c r="D31" s="346">
        <v>12975005.81</v>
      </c>
      <c r="F31" s="337">
        <f>SUM(B31:E31)</f>
        <v>29147309.93</v>
      </c>
      <c r="G31" s="343">
        <f>G30+F31</f>
        <v>844012520.31</v>
      </c>
      <c r="H31" s="317" t="s"/>
      <c r="I31" s="344">
        <v>0.022874</v>
      </c>
      <c r="J31" s="323">
        <f>G31*I31/365</f>
        <v>52892.9928481396</v>
      </c>
    </row>
    <row r="32" spans="1:10">
      <c r="A32" s="333">
        <v>46049</v>
      </c>
      <c r="B32" s="345">
        <v>122820396.16</v>
      </c>
      <c r="C32" s="346">
        <v>-2033580</v>
      </c>
      <c r="D32" s="346">
        <v>29021287.88</v>
      </c>
      <c r="F32" s="337">
        <f>SUM(B32:E32)</f>
        <v>149808104.04</v>
      </c>
      <c r="G32" s="343">
        <f>G31+F32</f>
        <v>993820624.35</v>
      </c>
      <c r="H32" s="317" t="s"/>
      <c r="I32" s="344">
        <v>0.022874</v>
      </c>
      <c r="J32" s="323">
        <f>G32*I32/365</f>
        <v>62281.2409900874</v>
      </c>
    </row>
    <row r="33" spans="1:10">
      <c r="A33" s="333">
        <v>46050</v>
      </c>
      <c r="B33" s="345">
        <v>-15951749.86</v>
      </c>
      <c r="C33" s="346">
        <v>-9992467.12</v>
      </c>
      <c r="D33" s="346">
        <v>15642265.07</v>
      </c>
      <c r="F33" s="337">
        <f>SUM(B33:E33)</f>
        <v>-10301951.91</v>
      </c>
      <c r="G33" s="343">
        <f>G32+F33</f>
        <v>983518672.44</v>
      </c>
      <c r="H33" s="317" t="s"/>
      <c r="I33" s="344">
        <v>0.022874</v>
      </c>
      <c r="J33" s="323">
        <f>G33*I33/365</f>
        <v>61635.6331873769</v>
      </c>
    </row>
    <row r="34" spans="1:10">
      <c r="A34" s="333">
        <v>46051</v>
      </c>
      <c r="B34" s="345">
        <v>45895946.58</v>
      </c>
      <c r="C34" s="346">
        <v>-16719920.55</v>
      </c>
      <c r="D34" s="346">
        <v>9500497.26</v>
      </c>
      <c r="F34" s="337">
        <f>SUM(B34:E34)</f>
        <v>38676523.29</v>
      </c>
      <c r="G34" s="343">
        <f>G33+F34</f>
        <v>1022195195.73</v>
      </c>
      <c r="H34" s="317" t="s"/>
      <c r="I34" s="344">
        <v>0.022874</v>
      </c>
      <c r="J34" s="323">
        <f>G34*I34/365</f>
        <v>64059.4326222686</v>
      </c>
    </row>
    <row r="35" spans="1:10">
      <c r="A35" s="333">
        <v>46052</v>
      </c>
      <c r="B35" s="345">
        <v>49995000</v>
      </c>
      <c r="C35" s="346">
        <v>9582094.51</v>
      </c>
      <c r="D35" s="346">
        <v>-51991721.92</v>
      </c>
      <c r="F35" s="337">
        <f>SUM(B35:E35)</f>
        <v>7585372.59</v>
      </c>
      <c r="G35" s="343">
        <f>G34+F35</f>
        <v>1029780568.32</v>
      </c>
      <c r="H35" s="356" t="s">
        <v>314</v>
      </c>
      <c r="I35" s="344">
        <v>0.022874</v>
      </c>
      <c r="J35" s="323">
        <f>G35*I35/365</f>
        <v>64534.7964924704</v>
      </c>
    </row>
    <row r="36" spans="1:10">
      <c r="A36" s="333">
        <v>46053</v>
      </c>
      <c r="B36" s="345" t="s">
        <v>209</v>
      </c>
      <c r="C36" s="346" t="s">
        <v>209</v>
      </c>
      <c r="D36" s="346" t="s">
        <v>209</v>
      </c>
      <c r="F36" s="337">
        <f>SUM(B36:E36)</f>
        <v>0</v>
      </c>
      <c r="G36" s="343">
        <f>G35+F36</f>
        <v>1029780568.32</v>
      </c>
      <c r="H36" s="317" t="s"/>
      <c r="I36" s="344">
        <v>0.022874</v>
      </c>
      <c r="J36" s="323">
        <f>G36*I36/365</f>
        <v>64534.7964924704</v>
      </c>
    </row>
    <row r="37" spans="1:10">
      <c r="A37" s="333">
        <v>46054</v>
      </c>
      <c r="B37" s="345" t="s">
        <v>209</v>
      </c>
      <c r="C37" s="346" t="s">
        <v>209</v>
      </c>
      <c r="D37" s="346" t="s">
        <v>209</v>
      </c>
      <c r="F37" s="337">
        <f>SUM(B37:E37)</f>
        <v>0</v>
      </c>
      <c r="G37" s="343">
        <f>G36+F37</f>
        <v>1029780568.32</v>
      </c>
      <c r="H37" s="317" t="s"/>
      <c r="I37" s="344">
        <v>0.022874</v>
      </c>
      <c r="J37" s="323">
        <f>G37*I37/365</f>
        <v>64534.7964924704</v>
      </c>
    </row>
    <row r="38" spans="1:10">
      <c r="A38" s="333">
        <v>46055</v>
      </c>
      <c r="B38" s="345">
        <v>65110334.24</v>
      </c>
      <c r="C38" s="346" t="s">
        <v>306</v>
      </c>
      <c r="D38" s="346">
        <v>-50839823.3</v>
      </c>
      <c r="F38" s="337">
        <f>SUM(B38:E38)</f>
        <v>14270510.94</v>
      </c>
      <c r="G38" s="343">
        <f>G37+F38</f>
        <v>1044051079.26</v>
      </c>
      <c r="H38" s="317" t="s"/>
      <c r="I38" s="344">
        <v>0.022874</v>
      </c>
      <c r="J38" s="323">
        <f>G38*I38/365</f>
        <v>65429.1079095705</v>
      </c>
    </row>
    <row r="39" spans="1:10">
      <c r="A39" s="333">
        <v>46056</v>
      </c>
      <c r="B39" s="345" t="s">
        <v>298</v>
      </c>
      <c r="C39" s="346">
        <v>-20008547.95</v>
      </c>
      <c r="D39" s="346">
        <v>20799426.02</v>
      </c>
      <c r="F39" s="337">
        <f>SUM(B39:E39)</f>
        <v>790878.07</v>
      </c>
      <c r="G39" s="343">
        <f>G38+F39</f>
        <v>1044841957.33</v>
      </c>
      <c r="H39" s="317" t="s"/>
      <c r="I39" s="344">
        <v>0.022869</v>
      </c>
      <c r="J39" s="323">
        <f>G39*I39/365</f>
        <v>65464.3581429583</v>
      </c>
    </row>
    <row r="40" spans="1:10">
      <c r="A40" s="333">
        <v>46057</v>
      </c>
      <c r="B40" s="345">
        <v>53027837.4</v>
      </c>
      <c r="C40" s="346" t="s">
        <v>306</v>
      </c>
      <c r="D40" s="346">
        <v>3959721.52</v>
      </c>
      <c r="F40" s="337">
        <f>SUM(B40:E40)</f>
        <v>56987558.92</v>
      </c>
      <c r="G40" s="343">
        <f>G39+F40</f>
        <v>1101829516.25</v>
      </c>
      <c r="H40" s="317" t="s"/>
      <c r="I40" s="344">
        <v>0.022869</v>
      </c>
      <c r="J40" s="323">
        <f>G40*I40/365</f>
        <v>69034.9019373185</v>
      </c>
    </row>
    <row r="41" spans="1:10">
      <c r="A41" s="333">
        <v>46058</v>
      </c>
      <c r="B41" s="345" t="s">
        <v>298</v>
      </c>
      <c r="C41" s="346">
        <v>-10004824.66</v>
      </c>
      <c r="D41" s="346">
        <v>-29819649.05</v>
      </c>
      <c r="F41" s="337">
        <f>SUM(B41:E41)</f>
        <v>-39824473.71</v>
      </c>
      <c r="G41" s="343">
        <f>G40+F41</f>
        <v>1062005042.54</v>
      </c>
      <c r="H41" s="317" t="s"/>
      <c r="I41" s="344">
        <v>0.022866</v>
      </c>
      <c r="J41" s="323">
        <f>G41*I41/365</f>
        <v>66530.9789115607</v>
      </c>
    </row>
    <row r="42" spans="1:10">
      <c r="A42" s="333">
        <v>46059</v>
      </c>
      <c r="B42" s="345">
        <v>129137913.84</v>
      </c>
      <c r="C42" s="346" t="s">
        <v>306</v>
      </c>
      <c r="D42" s="346">
        <v>-96423231.52</v>
      </c>
      <c r="F42" s="337">
        <f>SUM(B42:E42)</f>
        <v>32714682.32</v>
      </c>
      <c r="G42" s="343">
        <f>G41+F42</f>
        <v>1094719724.86</v>
      </c>
      <c r="H42" s="317" t="s"/>
      <c r="I42" s="344">
        <v>0.022866</v>
      </c>
      <c r="J42" s="323">
        <f>G42*I42/365</f>
        <v>68580.4417223254</v>
      </c>
    </row>
    <row r="43" spans="1:10">
      <c r="A43" s="333">
        <v>46060</v>
      </c>
      <c r="B43" s="345" t="s">
        <v>209</v>
      </c>
      <c r="C43" s="346" t="s">
        <v>209</v>
      </c>
      <c r="D43" s="346" t="s">
        <v>209</v>
      </c>
      <c r="F43" s="337">
        <f>SUM(B43:E43)</f>
        <v>0</v>
      </c>
      <c r="G43" s="343">
        <f>G42+F43</f>
        <v>1094719724.86</v>
      </c>
      <c r="H43" s="317" t="s"/>
      <c r="I43" s="344">
        <v>0.022866</v>
      </c>
      <c r="J43" s="323">
        <f>G43*I43/365</f>
        <v>68580.4417223254</v>
      </c>
    </row>
    <row r="44" spans="1:10">
      <c r="A44" s="333">
        <v>46061</v>
      </c>
      <c r="B44" s="345" t="s">
        <v>209</v>
      </c>
      <c r="C44" s="346" t="s">
        <v>209</v>
      </c>
      <c r="D44" s="346" t="s">
        <v>209</v>
      </c>
      <c r="F44" s="337">
        <f>SUM(B44:E44)</f>
        <v>0</v>
      </c>
      <c r="G44" s="343">
        <f>G43+F44</f>
        <v>1094719724.86</v>
      </c>
      <c r="H44" s="317" t="s"/>
      <c r="I44" s="344">
        <v>0.022866</v>
      </c>
      <c r="J44" s="323">
        <f>G44*I44/365</f>
        <v>68580.4417223254</v>
      </c>
    </row>
    <row r="45" spans="1:10">
      <c r="A45" s="333">
        <v>46062</v>
      </c>
      <c r="B45" s="345">
        <v>-177189433.7</v>
      </c>
      <c r="C45" s="346" t="s">
        <v>306</v>
      </c>
      <c r="D45" s="346">
        <v>-82779649.32</v>
      </c>
      <c r="F45" s="337">
        <f>SUM(B45:E45)</f>
        <v>-259969083.02</v>
      </c>
      <c r="G45" s="343">
        <f>G44+F45</f>
        <v>834750641.84</v>
      </c>
      <c r="H45" s="317" t="s"/>
      <c r="I45" s="344">
        <v>0.022866</v>
      </c>
      <c r="J45" s="323">
        <f>G45*I45/365</f>
        <v>52294.2689762012</v>
      </c>
    </row>
    <row r="46" spans="1:10">
      <c r="A46" s="333">
        <v>46063</v>
      </c>
      <c r="B46" s="345">
        <v>-68778115.34</v>
      </c>
      <c r="C46" s="346">
        <v>91357797.26</v>
      </c>
      <c r="D46" s="346">
        <v>-89259578.09</v>
      </c>
      <c r="F46" s="337">
        <f>SUM(B46:E46)</f>
        <v>-66679896.17</v>
      </c>
      <c r="G46" s="343">
        <f>G45+F46</f>
        <v>768070745.67</v>
      </c>
      <c r="H46" s="317" t="s"/>
      <c r="I46" s="344">
        <v>0.022866</v>
      </c>
      <c r="J46" s="323">
        <f>G46*I46/365</f>
        <v>48117.0018369595</v>
      </c>
    </row>
    <row r="47" spans="1:10">
      <c r="A47" s="333">
        <v>46064</v>
      </c>
      <c r="B47" s="345">
        <v>50246051.64</v>
      </c>
      <c r="C47" s="346">
        <v>-4976078.08</v>
      </c>
      <c r="D47" s="346">
        <v>-10125057.54</v>
      </c>
      <c r="F47" s="337">
        <f>SUM(B47:E47)</f>
        <v>35144916.02</v>
      </c>
      <c r="G47" s="343">
        <f>G46+F47</f>
        <v>803215661.69</v>
      </c>
      <c r="H47" s="317" t="s"/>
      <c r="I47" s="344">
        <v>0.022866</v>
      </c>
      <c r="J47" s="323">
        <f>G47*I47/365</f>
        <v>50318.7104663111</v>
      </c>
    </row>
    <row r="48" spans="1:10">
      <c r="A48" s="333">
        <v>46065</v>
      </c>
      <c r="B48" s="345">
        <v>-72045434.11</v>
      </c>
      <c r="C48" s="346" t="s">
        <v>306</v>
      </c>
      <c r="D48" s="346">
        <v>-37367174.8</v>
      </c>
      <c r="F48" s="337">
        <f>SUM(B48:E48)</f>
        <v>-109412608.91</v>
      </c>
      <c r="G48" s="343">
        <f>G47+F48</f>
        <v>693803052.78</v>
      </c>
      <c r="H48" s="317" t="s"/>
      <c r="I48" s="344">
        <v>0.022866</v>
      </c>
      <c r="J48" s="323">
        <f>G48*I48/365</f>
        <v>43464.385218815</v>
      </c>
    </row>
    <row r="49" spans="1:10">
      <c r="A49" s="333">
        <v>46066</v>
      </c>
      <c r="B49" s="345" t="s">
        <v>298</v>
      </c>
      <c r="C49" s="346">
        <v>-10262000</v>
      </c>
      <c r="D49" s="346">
        <v>10811273.97</v>
      </c>
      <c r="F49" s="337">
        <f>SUM(B49:E49)</f>
        <v>549273.970000001</v>
      </c>
      <c r="G49" s="343">
        <f>G48+F49</f>
        <v>694352326.75</v>
      </c>
      <c r="H49" s="317" t="s"/>
      <c r="I49" s="344">
        <v>0.022866</v>
      </c>
      <c r="J49" s="323">
        <f>G49*I49/365</f>
        <v>43498.7953519603</v>
      </c>
    </row>
    <row r="50" spans="1:10">
      <c r="A50" s="333">
        <v>46067</v>
      </c>
      <c r="B50" s="345" t="s">
        <v>209</v>
      </c>
      <c r="C50" s="346" t="s">
        <v>209</v>
      </c>
      <c r="D50" s="346" t="s">
        <v>209</v>
      </c>
      <c r="F50" s="337">
        <f>SUM(B50:E50)</f>
        <v>0</v>
      </c>
      <c r="G50" s="343">
        <f>G49+F50</f>
        <v>694352326.75</v>
      </c>
      <c r="H50" s="317" t="s"/>
      <c r="I50" s="344">
        <v>0.022866</v>
      </c>
      <c r="J50" s="323">
        <f>G50*I50/365</f>
        <v>43498.7953519603</v>
      </c>
    </row>
    <row r="51" spans="1:10">
      <c r="A51" s="333">
        <v>46068</v>
      </c>
      <c r="B51" s="345" t="s">
        <v>209</v>
      </c>
      <c r="C51" s="346" t="s">
        <v>209</v>
      </c>
      <c r="D51" s="346" t="s">
        <v>209</v>
      </c>
      <c r="F51" s="337">
        <f>SUM(B51:E51)</f>
        <v>0</v>
      </c>
      <c r="G51" s="343">
        <f>G50+F51</f>
        <v>694352326.75</v>
      </c>
      <c r="H51" s="317" t="s"/>
      <c r="I51" s="344">
        <v>0.022866</v>
      </c>
      <c r="J51" s="323">
        <f>G51*I51/365</f>
        <v>43498.7953519603</v>
      </c>
    </row>
    <row r="52" spans="1:10">
      <c r="A52" s="333">
        <v>46069</v>
      </c>
      <c r="B52" s="345" t="s">
        <v>209</v>
      </c>
      <c r="C52" s="346" t="s">
        <v>209</v>
      </c>
      <c r="D52" s="346" t="s">
        <v>209</v>
      </c>
      <c r="F52" s="337">
        <f>SUM(B52:E52)</f>
        <v>0</v>
      </c>
      <c r="G52" s="343">
        <f>G51+F52</f>
        <v>694352326.75</v>
      </c>
      <c r="H52" s="317" t="s"/>
      <c r="I52" s="344">
        <v>0.022866</v>
      </c>
      <c r="J52" s="323">
        <f>G52*I52/365</f>
        <v>43498.7953519603</v>
      </c>
    </row>
    <row r="53" spans="1:10">
      <c r="A53" s="333">
        <v>46070</v>
      </c>
      <c r="B53" s="345" t="s">
        <v>209</v>
      </c>
      <c r="C53" s="346" t="s">
        <v>209</v>
      </c>
      <c r="D53" s="346" t="s">
        <v>209</v>
      </c>
      <c r="F53" s="337">
        <f>SUM(B53:E53)</f>
        <v>0</v>
      </c>
      <c r="G53" s="343">
        <f>G52+F53</f>
        <v>694352326.75</v>
      </c>
      <c r="H53" s="317" t="s"/>
      <c r="I53" s="344">
        <v>0.022866</v>
      </c>
      <c r="J53" s="323">
        <f>G53*I53/365</f>
        <v>43498.7953519603</v>
      </c>
    </row>
    <row r="54" spans="1:10">
      <c r="A54" s="333">
        <v>46071</v>
      </c>
      <c r="B54" s="345" t="s">
        <v>209</v>
      </c>
      <c r="C54" s="346" t="s">
        <v>209</v>
      </c>
      <c r="D54" s="346" t="s">
        <v>209</v>
      </c>
      <c r="F54" s="337">
        <f>SUM(B54:E54)</f>
        <v>0</v>
      </c>
      <c r="G54" s="343">
        <f>G53+F54</f>
        <v>694352326.75</v>
      </c>
      <c r="H54" s="317" t="s"/>
      <c r="I54" s="344">
        <v>0.022866</v>
      </c>
      <c r="J54" s="323">
        <f>G54*I54/365</f>
        <v>43498.7953519603</v>
      </c>
    </row>
    <row r="55" spans="1:10">
      <c r="A55" s="333">
        <v>46072</v>
      </c>
      <c r="B55" s="345" t="s">
        <v>209</v>
      </c>
      <c r="C55" s="346" t="s">
        <v>209</v>
      </c>
      <c r="D55" s="346" t="s">
        <v>209</v>
      </c>
      <c r="F55" s="337">
        <f>SUM(B55:E55)</f>
        <v>0</v>
      </c>
      <c r="G55" s="343">
        <f>G54+F55</f>
        <v>694352326.75</v>
      </c>
      <c r="H55" s="317" t="s"/>
      <c r="I55" s="344">
        <v>0.022866</v>
      </c>
      <c r="J55" s="323">
        <f>G55*I55/365</f>
        <v>43498.7953519603</v>
      </c>
    </row>
    <row r="56" spans="1:10">
      <c r="A56" s="333">
        <v>46073</v>
      </c>
      <c r="B56" s="345" t="s">
        <v>209</v>
      </c>
      <c r="C56" s="346" t="s">
        <v>209</v>
      </c>
      <c r="D56" s="346" t="s">
        <v>209</v>
      </c>
      <c r="F56" s="337">
        <f>SUM(B56:E56)</f>
        <v>0</v>
      </c>
      <c r="G56" s="343">
        <f>G55+F56</f>
        <v>694352326.75</v>
      </c>
      <c r="H56" s="317" t="s"/>
      <c r="I56" s="344">
        <v>0.022866</v>
      </c>
      <c r="J56" s="323">
        <f>G56*I56/365</f>
        <v>43498.7953519603</v>
      </c>
    </row>
    <row r="57" spans="1:10">
      <c r="A57" s="333">
        <v>46074</v>
      </c>
      <c r="B57" s="334" t="s">
        <v>209</v>
      </c>
      <c r="C57" s="335" t="s">
        <v>209</v>
      </c>
      <c r="D57" s="335" t="s">
        <v>209</v>
      </c>
      <c r="F57" s="337">
        <f>SUM(B57:E57)</f>
        <v>0</v>
      </c>
      <c r="G57" s="343">
        <f>G56+F57</f>
        <v>694352326.75</v>
      </c>
      <c r="H57" s="317" t="s"/>
      <c r="I57" s="344">
        <v>0.022866</v>
      </c>
      <c r="J57" s="323">
        <f>G57*I57/365</f>
        <v>43498.7953519603</v>
      </c>
    </row>
    <row r="58" spans="1:10">
      <c r="A58" s="333">
        <v>46075</v>
      </c>
      <c r="B58" s="345" t="s">
        <v>209</v>
      </c>
      <c r="C58" s="346" t="s">
        <v>209</v>
      </c>
      <c r="D58" s="346" t="s">
        <v>209</v>
      </c>
      <c r="F58" s="337">
        <f>SUM(B58:E58)</f>
        <v>0</v>
      </c>
      <c r="G58" s="343">
        <f>G57+F58</f>
        <v>694352326.75</v>
      </c>
      <c r="H58" s="317" t="s"/>
      <c r="I58" s="344">
        <v>0.022866</v>
      </c>
      <c r="J58" s="323">
        <f>G58*I58/365</f>
        <v>43498.7953519603</v>
      </c>
    </row>
    <row r="59" spans="1:10">
      <c r="A59" s="333">
        <v>46076</v>
      </c>
      <c r="B59" s="345" t="s">
        <v>209</v>
      </c>
      <c r="C59" s="346" t="s">
        <v>209</v>
      </c>
      <c r="D59" s="346" t="s">
        <v>209</v>
      </c>
      <c r="F59" s="337">
        <f>SUM(B59:E59)</f>
        <v>0</v>
      </c>
      <c r="G59" s="343">
        <f>G58+F59</f>
        <v>694352326.75</v>
      </c>
      <c r="H59" s="317" t="s"/>
      <c r="I59" s="344">
        <v>0.022866</v>
      </c>
      <c r="J59" s="323">
        <f>G59*I59/365</f>
        <v>43498.7953519603</v>
      </c>
    </row>
    <row r="60" spans="1:10">
      <c r="A60" s="333">
        <v>46077</v>
      </c>
      <c r="B60" s="345">
        <v>-10295546.99</v>
      </c>
      <c r="C60" s="346" t="s">
        <v>306</v>
      </c>
      <c r="D60" s="346" t="s">
        <v>298</v>
      </c>
      <c r="F60" s="337">
        <f>SUM(B60:E60)</f>
        <v>-10295546.99</v>
      </c>
      <c r="G60" s="343">
        <f>G59+F60</f>
        <v>684056779.76</v>
      </c>
      <c r="H60" s="317" t="s"/>
      <c r="I60" s="344">
        <v>0.022866</v>
      </c>
      <c r="J60" s="323">
        <f>G60*I60/365</f>
        <v>42853.8145917594</v>
      </c>
    </row>
    <row r="61" spans="1:10">
      <c r="A61" s="333">
        <v>46078</v>
      </c>
      <c r="B61" s="345">
        <v>-132260</v>
      </c>
      <c r="C61" s="346" t="s">
        <v>306</v>
      </c>
      <c r="D61" s="346">
        <v>58916100</v>
      </c>
      <c r="F61" s="337">
        <f>SUM(B61:E61)</f>
        <v>58783840</v>
      </c>
      <c r="G61" s="343">
        <f>G60+F61</f>
        <v>742840619.76</v>
      </c>
      <c r="H61" s="317" t="s"/>
      <c r="I61" s="344">
        <v>0.022815</v>
      </c>
      <c r="J61" s="323">
        <f>G61*I61/365</f>
        <v>46432.6266844504</v>
      </c>
    </row>
    <row r="62" spans="1:10">
      <c r="A62" s="333">
        <v>46079</v>
      </c>
      <c r="B62" s="345">
        <v>73183001.75</v>
      </c>
      <c r="C62" s="346">
        <v>-800</v>
      </c>
      <c r="D62" s="346">
        <v>91707341.65</v>
      </c>
      <c r="F62" s="337">
        <f>SUM(B62:E62)</f>
        <v>164889543.4</v>
      </c>
      <c r="G62" s="343">
        <f>G61+F62</f>
        <v>907730163.16</v>
      </c>
      <c r="H62" s="317" t="s"/>
      <c r="I62" s="344">
        <v>0.022815</v>
      </c>
      <c r="J62" s="323">
        <f>G62*I62/365</f>
        <v>56739.3525273847</v>
      </c>
    </row>
    <row r="63" spans="1:10">
      <c r="A63" s="333">
        <v>46080</v>
      </c>
      <c r="B63" s="345">
        <v>140455478.65</v>
      </c>
      <c r="C63" s="346">
        <v>91158305.48</v>
      </c>
      <c r="D63" s="346">
        <v>-78922138.36</v>
      </c>
      <c r="F63" s="337">
        <f>SUM(B63:E63)</f>
        <v>152691645.77</v>
      </c>
      <c r="G63" s="343">
        <f>G62+F63</f>
        <v>1060421808.93</v>
      </c>
      <c r="H63" s="317" t="s"/>
      <c r="I63" s="344">
        <v>0.022815</v>
      </c>
      <c r="J63" s="323">
        <f>G63*I63/365</f>
        <v>66283.6262211999</v>
      </c>
    </row>
    <row r="64" spans="1:10">
      <c r="A64" s="333">
        <v>46081</v>
      </c>
      <c r="B64" s="345" t="s">
        <v>209</v>
      </c>
      <c r="C64" s="346" t="s">
        <v>209</v>
      </c>
      <c r="D64" s="346" t="s">
        <v>209</v>
      </c>
      <c r="F64" s="337">
        <f>SUM(B64:E64)</f>
        <v>0</v>
      </c>
      <c r="G64" s="343">
        <f>G63+F64</f>
        <v>1060421808.93</v>
      </c>
      <c r="H64" s="356" t="s">
        <v>314</v>
      </c>
      <c r="I64" s="344">
        <v>0.022815</v>
      </c>
      <c r="J64" s="323">
        <f>G64*I64/365</f>
        <v>66283.6262211999</v>
      </c>
    </row>
    <row r="65" spans="1:10">
      <c r="A65" s="333">
        <v>46082</v>
      </c>
      <c r="B65" s="345" t="s">
        <v>209</v>
      </c>
      <c r="C65" s="346" t="s">
        <v>209</v>
      </c>
      <c r="D65" s="346" t="s">
        <v>209</v>
      </c>
      <c r="F65" s="337">
        <f>SUM(B65:E65)</f>
        <v>0</v>
      </c>
      <c r="G65" s="343">
        <f>G64+F65</f>
        <v>1060421808.93</v>
      </c>
      <c r="H65" s="317" t="s"/>
      <c r="I65" s="344">
        <v>0.022815</v>
      </c>
      <c r="J65" s="323">
        <f>G65*I65/365</f>
        <v>66283.6262211999</v>
      </c>
    </row>
    <row r="66" spans="1:10" ht="15" customHeight="1">
      <c r="A66" s="333">
        <v>46083</v>
      </c>
      <c r="B66" s="345">
        <v>10002000.01</v>
      </c>
      <c r="C66" s="346" t="s">
        <v>306</v>
      </c>
      <c r="D66" s="354">
        <v>-161938606.15</v>
      </c>
      <c r="F66" s="337">
        <f>SUM(B66:E66)</f>
        <v>-151936606.14</v>
      </c>
      <c r="G66" s="343">
        <f>G65+F66</f>
        <v>908485202.79</v>
      </c>
      <c r="H66" s="317" t="s"/>
      <c r="I66" s="344">
        <v>0.022831</v>
      </c>
      <c r="J66" s="323">
        <f>G66*I66/365</f>
        <v>56826.3716846534</v>
      </c>
    </row>
    <row r="67" spans="1:10">
      <c r="A67" s="333">
        <v>46084</v>
      </c>
      <c r="B67" s="345">
        <v>30562355.62</v>
      </c>
      <c r="C67" s="346" t="s">
        <v>306</v>
      </c>
      <c r="D67" s="346">
        <v>-29624731.52</v>
      </c>
      <c r="F67" s="337">
        <f>SUM(B67:E67)</f>
        <v>937624.100000002</v>
      </c>
      <c r="G67" s="343">
        <f>G66+F67</f>
        <v>909422826.89</v>
      </c>
      <c r="H67" s="317" t="s"/>
      <c r="I67" s="344">
        <v>0.022831</v>
      </c>
      <c r="J67" s="323">
        <f>G67*I67/365</f>
        <v>56885.0207143167</v>
      </c>
    </row>
    <row r="68" spans="1:10">
      <c r="A68" s="333">
        <v>46085</v>
      </c>
      <c r="B68" s="345">
        <v>20097940.13</v>
      </c>
      <c r="C68" s="346">
        <v>10203094.52</v>
      </c>
      <c r="D68" s="354">
        <v>-200705467.13</v>
      </c>
      <c r="F68" s="337">
        <f>SUM(B68:E68)</f>
        <v>-170404432.48</v>
      </c>
      <c r="G68" s="343">
        <f>G67+F68</f>
        <v>739018394.41</v>
      </c>
      <c r="H68" s="317" t="s"/>
      <c r="I68" s="344">
        <v>0.022831</v>
      </c>
      <c r="J68" s="323">
        <f>G68*I68/365</f>
        <v>46226.106747328</v>
      </c>
    </row>
    <row r="69" spans="1:10">
      <c r="A69" s="333">
        <v>46086</v>
      </c>
      <c r="B69" s="345">
        <v>549.99</v>
      </c>
      <c r="C69" s="346">
        <v>-17800.01</v>
      </c>
      <c r="D69" s="354">
        <v>-101355938.36</v>
      </c>
      <c r="F69" s="337">
        <f>SUM(B69:E69)</f>
        <v>-101373188.38</v>
      </c>
      <c r="G69" s="343">
        <f>G68+F69</f>
        <v>637645206.03</v>
      </c>
      <c r="H69" s="317" t="s"/>
      <c r="I69" s="344">
        <v>0.022844</v>
      </c>
      <c r="J69" s="323">
        <f>G69*I69/365</f>
        <v>39907.855031642</v>
      </c>
    </row>
    <row r="70" spans="1:10">
      <c r="A70" s="333">
        <v>46087</v>
      </c>
      <c r="B70" s="345">
        <v>39973600</v>
      </c>
      <c r="C70" s="346" t="s">
        <v>306</v>
      </c>
      <c r="D70" s="346">
        <v>-30596939.04</v>
      </c>
      <c r="F70" s="337">
        <f>SUM(B70:E70)</f>
        <v>9376660.96</v>
      </c>
      <c r="G70" s="343">
        <f>G69+F70</f>
        <v>647021866.99</v>
      </c>
      <c r="H70" s="317" t="s"/>
      <c r="I70" s="344">
        <v>0.022844</v>
      </c>
      <c r="J70" s="323">
        <f>G70*I70/365</f>
        <v>40494.7055603276</v>
      </c>
    </row>
    <row r="71" spans="1:10">
      <c r="A71" s="333">
        <v>46088</v>
      </c>
      <c r="B71" s="345" t="s">
        <v>209</v>
      </c>
      <c r="C71" s="346" t="s">
        <v>209</v>
      </c>
      <c r="D71" s="346" t="s">
        <v>209</v>
      </c>
      <c r="F71" s="337">
        <f>SUM(B71:E71)</f>
        <v>0</v>
      </c>
      <c r="G71" s="343">
        <f>G70+F71</f>
        <v>647021866.99</v>
      </c>
      <c r="H71" s="317" t="s"/>
      <c r="I71" s="344">
        <v>0.022844</v>
      </c>
      <c r="J71" s="323">
        <f>G71*I71/365</f>
        <v>40494.7055603276</v>
      </c>
    </row>
    <row r="72" spans="1:10">
      <c r="A72" s="333">
        <v>46089</v>
      </c>
      <c r="B72" s="345" t="s">
        <v>209</v>
      </c>
      <c r="C72" s="346" t="s">
        <v>209</v>
      </c>
      <c r="D72" s="346" t="s">
        <v>209</v>
      </c>
      <c r="F72" s="337">
        <f>SUM(B72:E72)</f>
        <v>0</v>
      </c>
      <c r="G72" s="343">
        <f>G71+F72</f>
        <v>647021866.99</v>
      </c>
      <c r="H72" s="317" t="s"/>
      <c r="I72" s="344">
        <v>0.022844</v>
      </c>
      <c r="J72" s="323">
        <f>G72*I72/365</f>
        <v>40494.7055603276</v>
      </c>
    </row>
    <row r="73" spans="1:10">
      <c r="A73" s="333">
        <v>46090</v>
      </c>
      <c r="B73" s="345">
        <v>-4260</v>
      </c>
      <c r="C73" s="346">
        <v>-91</v>
      </c>
      <c r="D73" s="346">
        <v>34410185.77</v>
      </c>
      <c r="F73" s="337">
        <f>SUM(B73:E73)</f>
        <v>34405834.77</v>
      </c>
      <c r="G73" s="343">
        <f>G72+F73</f>
        <v>681427701.76</v>
      </c>
      <c r="H73" s="317" t="s"/>
      <c r="I73" s="344">
        <v>0.022844</v>
      </c>
      <c r="J73" s="323">
        <f>G73*I73/365</f>
        <v>42648.0395041245</v>
      </c>
    </row>
    <row r="74" spans="1:10">
      <c r="A74" s="333">
        <v>46091</v>
      </c>
      <c r="B74" s="345">
        <v>12249439.45</v>
      </c>
      <c r="C74" s="346">
        <v>-30296728.77</v>
      </c>
      <c r="D74" s="346">
        <v>50995666.02</v>
      </c>
      <c r="F74" s="337">
        <f>SUM(B74:E74)</f>
        <v>32948376.7</v>
      </c>
      <c r="G74" s="343">
        <f>G73+F74</f>
        <v>714376078.46</v>
      </c>
      <c r="H74" s="317" t="s"/>
      <c r="I74" s="344">
        <v>0.022844</v>
      </c>
      <c r="J74" s="323">
        <f>G74*I74/365</f>
        <v>44710.1565379185</v>
      </c>
    </row>
    <row r="75" spans="1:10">
      <c r="A75" s="333">
        <v>46092</v>
      </c>
      <c r="B75" s="345">
        <v>-60943229.18</v>
      </c>
      <c r="C75" s="346" t="s">
        <v>306</v>
      </c>
      <c r="D75" s="346">
        <v>-13244897.28</v>
      </c>
      <c r="F75" s="337">
        <f>SUM(B75:E75)</f>
        <v>-74188126.46</v>
      </c>
      <c r="G75" s="343">
        <f>G74+F75</f>
        <v>640187952</v>
      </c>
      <c r="H75" s="317" t="s"/>
      <c r="I75" s="344">
        <v>0.022844</v>
      </c>
      <c r="J75" s="323">
        <f>G75*I75/365</f>
        <v>40066.9960972274</v>
      </c>
    </row>
    <row r="76" spans="1:10">
      <c r="A76" s="333">
        <v>46093</v>
      </c>
      <c r="B76" s="345">
        <v>-123341901.23</v>
      </c>
      <c r="C76" s="346" t="s">
        <v>306</v>
      </c>
      <c r="D76" s="346">
        <v>-5277860.26</v>
      </c>
      <c r="F76" s="337">
        <f>SUM(B76:E76)</f>
        <v>-128619761.49</v>
      </c>
      <c r="G76" s="343">
        <f>G75+F76</f>
        <v>511568190.51</v>
      </c>
      <c r="H76" s="317" t="s"/>
      <c r="I76" s="344">
        <v>0.022844</v>
      </c>
      <c r="J76" s="323">
        <f>G76*I76/365</f>
        <v>32017.1609424944</v>
      </c>
    </row>
    <row r="77" spans="1:10">
      <c r="A77" s="333">
        <v>46094</v>
      </c>
      <c r="B77" s="345">
        <v>50000000</v>
      </c>
      <c r="C77" s="346">
        <v>-50616465.76</v>
      </c>
      <c r="D77" s="346">
        <v>-25024623.97</v>
      </c>
      <c r="F77" s="337">
        <f>SUM(B77:E77)</f>
        <v>-25641089.73</v>
      </c>
      <c r="G77" s="343">
        <f>G76+F77</f>
        <v>485927100.78</v>
      </c>
      <c r="H77" s="317" t="s"/>
      <c r="I77" s="344">
        <v>0.022844</v>
      </c>
      <c r="J77" s="323">
        <f>G77*I77/365</f>
        <v>30412.3799732009</v>
      </c>
    </row>
    <row r="78" spans="1:10">
      <c r="A78" s="333">
        <v>46095</v>
      </c>
      <c r="B78" s="345" t="s">
        <v>209</v>
      </c>
      <c r="C78" s="346" t="s">
        <v>209</v>
      </c>
      <c r="D78" s="346" t="s">
        <v>209</v>
      </c>
      <c r="F78" s="337">
        <f>SUM(B78:E78)</f>
        <v>0</v>
      </c>
      <c r="G78" s="343">
        <f>G77+F78</f>
        <v>485927100.78</v>
      </c>
      <c r="H78" s="317" t="s"/>
      <c r="I78" s="344">
        <v>0.022844</v>
      </c>
      <c r="J78" s="323">
        <f>G78*I78/365</f>
        <v>30412.3799732009</v>
      </c>
    </row>
    <row r="79" spans="1:10">
      <c r="A79" s="333">
        <v>46096</v>
      </c>
      <c r="B79" s="345" t="s">
        <v>209</v>
      </c>
      <c r="C79" s="346" t="s">
        <v>209</v>
      </c>
      <c r="D79" s="346" t="s">
        <v>209</v>
      </c>
      <c r="F79" s="337">
        <f>SUM(B79:E79)</f>
        <v>0</v>
      </c>
      <c r="G79" s="343">
        <f>G78+F79</f>
        <v>485927100.78</v>
      </c>
      <c r="H79" s="317" t="s"/>
      <c r="I79" s="344">
        <v>0.022844</v>
      </c>
      <c r="J79" s="323">
        <f>G79*I79/365</f>
        <v>30412.3799732009</v>
      </c>
    </row>
    <row r="80" spans="1:10">
      <c r="A80" s="333">
        <v>46097</v>
      </c>
      <c r="B80" s="345">
        <v>10073312.47</v>
      </c>
      <c r="C80" s="346">
        <v>-44800</v>
      </c>
      <c r="D80" s="346">
        <v>-4522608.21</v>
      </c>
      <c r="F80" s="337">
        <f>SUM(B80:E80)</f>
        <v>5505904.26</v>
      </c>
      <c r="G80" s="343">
        <f>G79+F80</f>
        <v>491433005.04</v>
      </c>
      <c r="H80" s="317" t="s"/>
      <c r="I80" s="344">
        <v>0.022515</v>
      </c>
      <c r="J80" s="323">
        <f>G80*I80/365</f>
        <v>30314.0112560975</v>
      </c>
    </row>
    <row r="81" spans="1:10">
      <c r="A81" s="333">
        <v>46098</v>
      </c>
      <c r="B81" s="345">
        <v>49704535.05</v>
      </c>
      <c r="C81" s="346" t="s">
        <v>306</v>
      </c>
      <c r="D81" s="354">
        <v>152833315.36</v>
      </c>
      <c r="F81" s="337">
        <f>SUM(B81:E81)</f>
        <v>202537850.41</v>
      </c>
      <c r="G81" s="343">
        <f>G80+F81</f>
        <v>693970855.45</v>
      </c>
      <c r="H81" s="317" t="s"/>
      <c r="I81" s="344">
        <v>0.022515</v>
      </c>
      <c r="J81" s="323">
        <f>G81*I81/365</f>
        <v>42807.5446861829</v>
      </c>
    </row>
    <row r="82" spans="1:10">
      <c r="A82" s="333">
        <v>46099</v>
      </c>
      <c r="B82" s="345">
        <v>114973747.79</v>
      </c>
      <c r="C82" s="346" t="s">
        <v>306</v>
      </c>
      <c r="D82" s="354">
        <v>188701869.88</v>
      </c>
      <c r="F82" s="337">
        <f>SUM(B82:E82)</f>
        <v>303675617.67</v>
      </c>
      <c r="G82" s="343">
        <f>G81+F82</f>
        <v>997646473.12</v>
      </c>
      <c r="H82" s="317" t="s"/>
      <c r="I82" s="344">
        <v>0.022523</v>
      </c>
      <c r="J82" s="323">
        <f>G82*I82/365</f>
        <v>61561.6205865254</v>
      </c>
    </row>
    <row r="83" spans="1:10">
      <c r="A83" s="333">
        <v>46100</v>
      </c>
      <c r="B83" s="345">
        <v>-807.26</v>
      </c>
      <c r="C83" s="346">
        <v>-10220138.36</v>
      </c>
      <c r="D83" s="346">
        <v>58640360.13</v>
      </c>
      <c r="F83" s="337">
        <f>SUM(B83:E83)</f>
        <v>48419414.51</v>
      </c>
      <c r="G83" s="343">
        <f>G82+F83</f>
        <v>1046065887.63</v>
      </c>
      <c r="H83" s="317" t="s"/>
      <c r="I83" s="344">
        <v>0.022523</v>
      </c>
      <c r="J83" s="323">
        <f>G83*I83/365</f>
        <v>64549.4301016178</v>
      </c>
    </row>
    <row r="84" spans="1:10">
      <c r="A84" s="333">
        <v>46101</v>
      </c>
      <c r="B84" s="345">
        <v>90017540</v>
      </c>
      <c r="C84" s="346" t="s">
        <v>306</v>
      </c>
      <c r="D84" s="346">
        <v>-49155170.7</v>
      </c>
      <c r="F84" s="337">
        <f>SUM(B84:E84)</f>
        <v>40862369.3</v>
      </c>
      <c r="G84" s="343">
        <f>G83+F84</f>
        <v>1086928256.93</v>
      </c>
      <c r="H84" s="356" t="s">
        <v>314</v>
      </c>
      <c r="I84" s="344">
        <v>0.022523</v>
      </c>
      <c r="J84" s="323">
        <f>G84*I84/365</f>
        <v>67070.9181666696</v>
      </c>
    </row>
    <row r="85" spans="1:10">
      <c r="A85" s="333">
        <v>46102</v>
      </c>
      <c r="B85" s="345" t="s">
        <v>209</v>
      </c>
      <c r="C85" s="346" t="s">
        <v>209</v>
      </c>
      <c r="D85" s="346" t="s">
        <v>209</v>
      </c>
      <c r="F85" s="337">
        <f>SUM(B85:E85)</f>
        <v>0</v>
      </c>
      <c r="G85" s="343">
        <f>G84+F85</f>
        <v>1086928256.93</v>
      </c>
      <c r="H85" s="317" t="s"/>
      <c r="I85" s="344">
        <v>0.022523</v>
      </c>
      <c r="J85" s="323">
        <f>G85*I85/365</f>
        <v>67070.9181666696</v>
      </c>
    </row>
    <row r="86" spans="1:10">
      <c r="A86" s="333">
        <v>46103</v>
      </c>
      <c r="B86" s="345" t="s">
        <v>209</v>
      </c>
      <c r="C86" s="346" t="s">
        <v>209</v>
      </c>
      <c r="D86" s="346" t="s">
        <v>209</v>
      </c>
      <c r="F86" s="337">
        <f>SUM(B86:E86)</f>
        <v>0</v>
      </c>
      <c r="G86" s="343">
        <f>G85+F86</f>
        <v>1086928256.93</v>
      </c>
      <c r="H86" s="317" t="s"/>
      <c r="I86" s="344">
        <v>0.022523</v>
      </c>
      <c r="J86" s="323">
        <f>G86*I86/365</f>
        <v>67070.9181666696</v>
      </c>
    </row>
    <row r="87" spans="1:10">
      <c r="A87" s="333">
        <v>46104</v>
      </c>
      <c r="B87" s="345">
        <v>20002006.16</v>
      </c>
      <c r="C87" s="346" t="s">
        <v>306</v>
      </c>
      <c r="D87" s="346">
        <v>-45166172.75</v>
      </c>
      <c r="F87" s="337">
        <f>SUM(B87:E87)</f>
        <v>-25164166.59</v>
      </c>
      <c r="G87" s="343">
        <f>G86+F87</f>
        <v>1061764090.34</v>
      </c>
      <c r="H87" s="317" t="s"/>
      <c r="I87" s="344">
        <v>0.022587</v>
      </c>
      <c r="J87" s="323">
        <f>G87*I87/365</f>
        <v>65704.2890644098</v>
      </c>
    </row>
    <row r="88" spans="1:10">
      <c r="A88" s="333">
        <v>46105</v>
      </c>
      <c r="B88" s="345">
        <v>359675294.79</v>
      </c>
      <c r="C88" s="346">
        <v>48988438.35</v>
      </c>
      <c r="D88" s="354">
        <v>-127165359.46</v>
      </c>
      <c r="F88" s="337">
        <f>SUM(B88:E88)</f>
        <v>281498373.68</v>
      </c>
      <c r="G88" s="343">
        <f>G87+F88</f>
        <v>1343262464.02</v>
      </c>
      <c r="H88" s="317" t="s"/>
      <c r="I88" s="344">
        <v>0.022587</v>
      </c>
      <c r="J88" s="323">
        <f>G88*I88/365</f>
        <v>83124.0254104651</v>
      </c>
    </row>
    <row r="89" spans="1:10">
      <c r="A89" s="333">
        <v>46106</v>
      </c>
      <c r="B89" s="345">
        <v>-289946916.99</v>
      </c>
      <c r="C89" s="346">
        <v>-48714172.61</v>
      </c>
      <c r="D89" s="354">
        <v>-117054305.47</v>
      </c>
      <c r="F89" s="337">
        <f>SUM(B89:E89)</f>
        <v>-455715395.07</v>
      </c>
      <c r="G89" s="343">
        <f>G88+F89</f>
        <v>887547068.95</v>
      </c>
      <c r="H89" s="317" t="s"/>
      <c r="I89" s="344">
        <v>0.022635</v>
      </c>
      <c r="J89" s="323">
        <f>G89*I89/365</f>
        <v>55040.0764539267</v>
      </c>
    </row>
    <row r="90" spans="1:10">
      <c r="A90" s="333">
        <v>46107</v>
      </c>
      <c r="B90" s="345">
        <v>5990</v>
      </c>
      <c r="C90" s="346" t="s">
        <v>306</v>
      </c>
      <c r="D90" s="354">
        <v>-180081700.81</v>
      </c>
      <c r="F90" s="337">
        <f>SUM(B90:E90)</f>
        <v>-180075710.81</v>
      </c>
      <c r="G90" s="343">
        <f>G89+F90</f>
        <v>707471358.14</v>
      </c>
      <c r="H90" s="317" t="s"/>
      <c r="I90" s="344">
        <v>0.022635</v>
      </c>
      <c r="J90" s="323">
        <f>G90*I90/365</f>
        <v>43872.9155931477</v>
      </c>
    </row>
    <row r="91" spans="1:10">
      <c r="A91" s="333">
        <v>46108</v>
      </c>
      <c r="B91" s="345">
        <v>-14800</v>
      </c>
      <c r="C91" s="346" t="s">
        <v>306</v>
      </c>
      <c r="D91" s="354">
        <v>-118898411.93</v>
      </c>
      <c r="F91" s="337">
        <f>SUM(B91:E91)</f>
        <v>-118913211.93</v>
      </c>
      <c r="G91" s="343">
        <f>G90+F91</f>
        <v>588558146.21</v>
      </c>
      <c r="H91" s="356" t="s">
        <v>314</v>
      </c>
      <c r="I91" s="344">
        <v>0.022634</v>
      </c>
      <c r="J91" s="323">
        <f>G91*I91/365</f>
        <v>36497.0550173072</v>
      </c>
    </row>
    <row r="92" spans="1:10">
      <c r="A92" s="333">
        <v>46109</v>
      </c>
      <c r="B92" s="345" t="s">
        <v>209</v>
      </c>
      <c r="C92" s="346" t="s">
        <v>209</v>
      </c>
      <c r="D92" s="346" t="s">
        <v>209</v>
      </c>
      <c r="F92" s="337">
        <f>SUM(B92:E92)</f>
        <v>0</v>
      </c>
      <c r="G92" s="343">
        <f>G91+F92</f>
        <v>588558146.21</v>
      </c>
      <c r="H92" s="317" t="s"/>
      <c r="I92" s="344">
        <v>0.022634</v>
      </c>
      <c r="J92" s="323">
        <f>G92*I92/365</f>
        <v>36497.0550173072</v>
      </c>
    </row>
    <row r="93" spans="1:10">
      <c r="A93" s="333">
        <v>46110</v>
      </c>
      <c r="B93" s="345" t="s">
        <v>209</v>
      </c>
      <c r="C93" s="346" t="s">
        <v>209</v>
      </c>
      <c r="D93" s="346" t="s">
        <v>209</v>
      </c>
      <c r="F93" s="337">
        <f>SUM(B93:E93)</f>
        <v>0</v>
      </c>
      <c r="G93" s="343">
        <f>G92+F93</f>
        <v>588558146.21</v>
      </c>
      <c r="H93" s="317" t="s"/>
      <c r="I93" s="344">
        <v>0.022634</v>
      </c>
      <c r="J93" s="323">
        <f>G93*I93/365</f>
        <v>36497.0550173072</v>
      </c>
    </row>
    <row r="94" spans="1:10">
      <c r="A94" s="333">
        <v>46111</v>
      </c>
      <c r="B94" s="345">
        <v>79981640</v>
      </c>
      <c r="C94" s="346" t="s">
        <v>306</v>
      </c>
      <c r="D94" s="346">
        <v>96015.06</v>
      </c>
      <c r="F94" s="337">
        <f>SUM(B94:E94)</f>
        <v>80077655.06</v>
      </c>
      <c r="G94" s="343">
        <f>G93+F94</f>
        <v>668635801.27</v>
      </c>
      <c r="H94" s="317" t="s"/>
      <c r="I94" s="344">
        <v>0.022634</v>
      </c>
      <c r="J94" s="323">
        <f>G94*I94/365</f>
        <v>41462.7471943704</v>
      </c>
    </row>
    <row r="95" spans="1:10">
      <c r="A95" s="333">
        <v>46112</v>
      </c>
      <c r="B95" s="345">
        <v>66330</v>
      </c>
      <c r="C95" s="346">
        <v>-47600</v>
      </c>
      <c r="D95" s="346">
        <v>32290886.3</v>
      </c>
      <c r="F95" s="337">
        <f>SUM(B95:E95)</f>
        <v>32309616.3</v>
      </c>
      <c r="G95" s="343">
        <f>G94+F95</f>
        <v>700945417.57</v>
      </c>
      <c r="H95" s="356" t="s">
        <v>314</v>
      </c>
      <c r="I95" s="344">
        <v>0.022634</v>
      </c>
      <c r="J95" s="323">
        <f>G95*I95/365</f>
        <v>43466.2974829572</v>
      </c>
    </row>
    <row r="96" spans="1:10">
      <c r="A96" s="333">
        <v>46113</v>
      </c>
      <c r="B96" s="345">
        <v>70501831.79</v>
      </c>
      <c r="C96" s="346" t="s">
        <v>306</v>
      </c>
      <c r="D96" s="346">
        <v>85579111.91</v>
      </c>
      <c r="F96" s="337">
        <f>SUM(B96:E96)</f>
        <v>156080943.7</v>
      </c>
      <c r="G96" s="343">
        <f>G95+F96</f>
        <v>857026361.27</v>
      </c>
      <c r="H96" s="317" t="s"/>
      <c r="I96" s="318">
        <v>0.022638</v>
      </c>
      <c r="J96" s="323">
        <f>G96*I96/365</f>
        <v>53154.4185381651</v>
      </c>
    </row>
    <row r="97" spans="1:11">
      <c r="A97" s="333">
        <v>46114</v>
      </c>
      <c r="B97" s="345">
        <v>-208697604.32</v>
      </c>
      <c r="C97" s="346">
        <v>-2541000</v>
      </c>
      <c r="D97" s="354">
        <v>250509448.76</v>
      </c>
      <c r="F97" s="337">
        <f>SUM(B97:E97)</f>
        <v>39270844.44</v>
      </c>
      <c r="G97" s="343">
        <f>G96+F97</f>
        <v>896297205.71</v>
      </c>
      <c r="H97" s="317" t="s"/>
      <c r="I97" s="318">
        <v>0.022638</v>
      </c>
      <c r="J97" s="323">
        <f>G97*I97/365</f>
        <v>55590.0716242821</v>
      </c>
      <c r="K97" s="357" t="s">
        <v>315</v>
      </c>
    </row>
    <row r="98" spans="1:10">
      <c r="A98" s="333">
        <v>46115</v>
      </c>
      <c r="B98" s="345">
        <v>110010670</v>
      </c>
      <c r="C98" s="346" t="s">
        <v>306</v>
      </c>
      <c r="D98" s="346">
        <v>-64720346.16</v>
      </c>
      <c r="F98" s="337">
        <f>SUM(B98:E98)</f>
        <v>45290323.84</v>
      </c>
      <c r="G98" s="343">
        <f>G97+F98</f>
        <v>941587529.55</v>
      </c>
      <c r="H98" s="356" t="s">
        <v>314</v>
      </c>
      <c r="I98" s="318">
        <v>0.022634</v>
      </c>
      <c r="J98" s="323">
        <f>G98*I98/365</f>
        <v>58388.7455995471</v>
      </c>
    </row>
    <row r="99" spans="1:10">
      <c r="A99" s="333">
        <v>46116</v>
      </c>
      <c r="B99" s="345" t="s">
        <v>209</v>
      </c>
      <c r="C99" s="346" t="s">
        <v>209</v>
      </c>
      <c r="D99" s="346" t="s">
        <v>209</v>
      </c>
      <c r="F99" s="337">
        <f>SUM(B99:E99)</f>
        <v>0</v>
      </c>
      <c r="G99" s="343">
        <f>G98+F99</f>
        <v>941587529.55</v>
      </c>
      <c r="H99" s="317" t="s"/>
      <c r="I99" s="318">
        <v>0.022634</v>
      </c>
      <c r="J99" s="323">
        <f>G99*I99/365</f>
        <v>58388.7455995471</v>
      </c>
    </row>
    <row r="100" spans="1:10">
      <c r="A100" s="333">
        <v>46117</v>
      </c>
      <c r="B100" s="345" t="s">
        <v>209</v>
      </c>
      <c r="C100" s="346" t="s">
        <v>209</v>
      </c>
      <c r="D100" s="346" t="s">
        <v>209</v>
      </c>
      <c r="F100" s="337">
        <f>SUM(B100:E100)</f>
        <v>0</v>
      </c>
      <c r="G100" s="343">
        <f>G99+F100</f>
        <v>941587529.55</v>
      </c>
      <c r="H100" s="317" t="s"/>
      <c r="I100" s="318">
        <v>0.022634</v>
      </c>
      <c r="J100" s="323">
        <f>G100*I100/365</f>
        <v>58388.7455995471</v>
      </c>
    </row>
    <row r="101" spans="1:10">
      <c r="A101" s="333">
        <v>46118</v>
      </c>
      <c r="B101" s="345" t="s">
        <v>209</v>
      </c>
      <c r="C101" s="346" t="s">
        <v>209</v>
      </c>
      <c r="D101" s="346" t="s">
        <v>209</v>
      </c>
      <c r="F101" s="337">
        <f>SUM(B101:E101)</f>
        <v>0</v>
      </c>
      <c r="G101" s="343">
        <f>G100+F101</f>
        <v>941587529.55</v>
      </c>
      <c r="H101" s="317" t="s"/>
      <c r="I101" s="318">
        <v>0.022634</v>
      </c>
      <c r="J101" s="323">
        <f>G101*I101/365</f>
        <v>58388.7455995471</v>
      </c>
    </row>
    <row r="102" spans="1:10">
      <c r="A102" s="333">
        <v>46119</v>
      </c>
      <c r="B102" s="345">
        <v>79981858.9</v>
      </c>
      <c r="C102" s="346" t="s">
        <v>306</v>
      </c>
      <c r="D102" s="346">
        <v>-47176489.32</v>
      </c>
      <c r="F102" s="337">
        <f>SUM(B102:E102)</f>
        <v>32805369.58</v>
      </c>
      <c r="G102" s="343">
        <f>G101+F102</f>
        <v>974392899.13</v>
      </c>
      <c r="H102" s="317" t="s"/>
      <c r="I102" s="318">
        <v>0.022634</v>
      </c>
      <c r="J102" s="323">
        <f>G102*I102/365</f>
        <v>60423.0380244066</v>
      </c>
    </row>
    <row r="103" spans="1:10">
      <c r="A103" s="333">
        <v>46120</v>
      </c>
      <c r="B103" s="345">
        <v>49125655.31</v>
      </c>
      <c r="C103" s="346">
        <v>20909883.56</v>
      </c>
      <c r="D103" s="346">
        <v>-52592327.95</v>
      </c>
      <c r="F103" s="337">
        <f>SUM(B103:E103)</f>
        <v>17443210.92</v>
      </c>
      <c r="G103" s="343">
        <f>G102+F103</f>
        <v>991836110.05</v>
      </c>
      <c r="H103" s="317" t="s"/>
      <c r="I103" s="318">
        <v>0.022634</v>
      </c>
      <c r="J103" s="323">
        <f>G103*I103/365</f>
        <v>61504.7082599225</v>
      </c>
    </row>
    <row r="104" spans="1:10">
      <c r="A104" s="333">
        <v>46121</v>
      </c>
      <c r="B104" s="345">
        <v>40970112.07</v>
      </c>
      <c r="C104" s="346">
        <v>19989543.83</v>
      </c>
      <c r="D104" s="354">
        <v>-119623487.25</v>
      </c>
      <c r="F104" s="337">
        <f>SUM(B104:E104)</f>
        <v>-58663831.35</v>
      </c>
      <c r="G104" s="343">
        <f>G103+F104</f>
        <v>933172278.7</v>
      </c>
      <c r="H104" s="317" t="s"/>
      <c r="I104" s="318">
        <v>0.022634</v>
      </c>
      <c r="J104" s="323">
        <f>G104*I104/365</f>
        <v>57866.90782492</v>
      </c>
    </row>
    <row r="105" spans="1:10">
      <c r="A105" s="333">
        <v>46122</v>
      </c>
      <c r="B105" s="345">
        <v>68428709.84</v>
      </c>
      <c r="C105" s="346">
        <v>65733677.94</v>
      </c>
      <c r="D105" s="346">
        <v>36025436.72</v>
      </c>
      <c r="F105" s="337">
        <f>SUM(B105:E105)</f>
        <v>170187824.5</v>
      </c>
      <c r="G105" s="343">
        <f>G104+F105</f>
        <v>1103360103.2</v>
      </c>
      <c r="H105" s="317" t="s"/>
      <c r="I105" s="318">
        <v>0.022634</v>
      </c>
      <c r="J105" s="323">
        <f>G105*I105/365</f>
        <v>68420.4180159693</v>
      </c>
    </row>
    <row r="106" spans="1:10">
      <c r="A106" s="333">
        <v>46123</v>
      </c>
      <c r="B106" s="345" t="s">
        <v>209</v>
      </c>
      <c r="C106" s="346" t="s">
        <v>209</v>
      </c>
      <c r="D106" s="346" t="s">
        <v>209</v>
      </c>
      <c r="F106" s="337">
        <f>SUM(B106:E106)</f>
        <v>0</v>
      </c>
      <c r="G106" s="343">
        <f>G105+F106</f>
        <v>1103360103.2</v>
      </c>
      <c r="H106" s="317" t="s"/>
      <c r="I106" s="318">
        <v>0.022634</v>
      </c>
      <c r="J106" s="323">
        <f>G106*I106/365</f>
        <v>68420.4180159693</v>
      </c>
    </row>
    <row r="107" spans="1:10">
      <c r="A107" s="333">
        <v>46124</v>
      </c>
      <c r="B107" s="345" t="s">
        <v>209</v>
      </c>
      <c r="C107" s="346" t="s">
        <v>209</v>
      </c>
      <c r="D107" s="346" t="s">
        <v>209</v>
      </c>
      <c r="F107" s="337">
        <f>SUM(B107:E107)</f>
        <v>0</v>
      </c>
      <c r="G107" s="343">
        <f>G106+F107</f>
        <v>1103360103.2</v>
      </c>
      <c r="H107" s="317" t="s"/>
      <c r="I107" s="318">
        <v>0.022634</v>
      </c>
      <c r="J107" s="323">
        <f>G107*I107/365</f>
        <v>68420.4180159693</v>
      </c>
    </row>
    <row r="108" spans="1:10">
      <c r="A108" s="333">
        <v>46125</v>
      </c>
      <c r="B108" s="345">
        <v>53946693.97</v>
      </c>
      <c r="C108" s="346">
        <v>10186239.73</v>
      </c>
      <c r="D108" s="346">
        <v>-74903174.66</v>
      </c>
      <c r="F108" s="337">
        <f>SUM(B108:E108)</f>
        <v>-10770240.96</v>
      </c>
      <c r="G108" s="343">
        <f>G107+F108</f>
        <v>1092589862.24</v>
      </c>
      <c r="H108" s="356" t="s">
        <v>314</v>
      </c>
      <c r="I108" s="318">
        <v>0.022634</v>
      </c>
      <c r="J108" s="323">
        <f>G108*I108/365</f>
        <v>67752.5450464114</v>
      </c>
    </row>
    <row r="109" spans="1:10">
      <c r="A109" s="333">
        <v>46126</v>
      </c>
      <c r="B109" s="345">
        <v>62095707.24</v>
      </c>
      <c r="C109" s="346">
        <v>30453613.7</v>
      </c>
      <c r="D109" s="346">
        <v>20000438.43</v>
      </c>
      <c r="F109" s="337">
        <f>SUM(B109:E109)</f>
        <v>112549759.37</v>
      </c>
      <c r="G109" s="343">
        <f>G108+F109</f>
        <v>1205139621.61</v>
      </c>
      <c r="H109" s="317" t="s"/>
      <c r="I109" s="318">
        <v>0.022634</v>
      </c>
      <c r="J109" s="323">
        <f>G109*I109/365</f>
        <v>74731.8635493719</v>
      </c>
    </row>
    <row r="110" spans="1:10">
      <c r="A110" s="333">
        <v>46127</v>
      </c>
      <c r="B110" s="345">
        <v>104049751.42</v>
      </c>
      <c r="C110" s="346" t="s">
        <v>306</v>
      </c>
      <c r="D110" s="354">
        <v>108375937.27</v>
      </c>
      <c r="F110" s="337">
        <f>SUM(B110:E110)</f>
        <v>212425688.69</v>
      </c>
      <c r="G110" s="343">
        <f>G109+F110</f>
        <v>1417565310.3</v>
      </c>
      <c r="H110" s="317" t="s"/>
      <c r="I110" s="318">
        <v>0.022634</v>
      </c>
      <c r="J110" s="323">
        <f>G110*I110/365</f>
        <v>87904.5842009047</v>
      </c>
    </row>
    <row r="111" spans="1:10">
      <c r="A111" s="333">
        <v>46128</v>
      </c>
      <c r="B111" s="345">
        <v>-121701983.1</v>
      </c>
      <c r="C111" s="346" t="s">
        <v>306</v>
      </c>
      <c r="D111" s="354">
        <v>133009779.45</v>
      </c>
      <c r="F111" s="337">
        <f>SUM(B111:E111)</f>
        <v>11307796.35</v>
      </c>
      <c r="G111" s="343">
        <f>G110+F111</f>
        <v>1428873106.65</v>
      </c>
      <c r="H111" s="317" t="s"/>
      <c r="I111" s="318">
        <v>0.022634</v>
      </c>
      <c r="J111" s="323">
        <f>G111*I111/365</f>
        <v>88605.7914956605</v>
      </c>
    </row>
    <row r="112" spans="1:10">
      <c r="A112" s="333">
        <v>46129</v>
      </c>
      <c r="B112" s="345">
        <v>38897795.02</v>
      </c>
      <c r="C112" s="346">
        <v>14683227.39</v>
      </c>
      <c r="D112" s="354">
        <v>-100734080.81</v>
      </c>
      <c r="F112" s="337">
        <f>SUM(B112:E112)</f>
        <v>-47153058.4</v>
      </c>
      <c r="G112" s="343">
        <f>G111+F112</f>
        <v>1381720048.25</v>
      </c>
      <c r="H112" s="317" t="s"/>
      <c r="I112" s="318">
        <v>0.022634</v>
      </c>
      <c r="J112" s="323">
        <f>G112*I112/365</f>
        <v>85681.7851290151</v>
      </c>
    </row>
    <row r="113" spans="1:10">
      <c r="A113" s="333">
        <v>46130</v>
      </c>
      <c r="B113" s="345" t="s">
        <v>209</v>
      </c>
      <c r="C113" s="346" t="s">
        <v>209</v>
      </c>
      <c r="D113" s="346" t="s">
        <v>209</v>
      </c>
      <c r="F113" s="337">
        <f>SUM(B113:E113)</f>
        <v>0</v>
      </c>
      <c r="G113" s="343">
        <f>G112+F113</f>
        <v>1381720048.25</v>
      </c>
      <c r="H113" s="317" t="s"/>
      <c r="I113" s="318">
        <v>0.022634</v>
      </c>
      <c r="J113" s="323">
        <f>G113*I113/365</f>
        <v>85681.7851290151</v>
      </c>
    </row>
    <row r="114" spans="1:10">
      <c r="A114" s="333">
        <v>46131</v>
      </c>
      <c r="B114" s="345" t="s">
        <v>209</v>
      </c>
      <c r="C114" s="346" t="s">
        <v>209</v>
      </c>
      <c r="D114" s="346" t="s">
        <v>209</v>
      </c>
      <c r="F114" s="337">
        <f>SUM(B114:E114)</f>
        <v>0</v>
      </c>
      <c r="G114" s="343">
        <f>G113+F114</f>
        <v>1381720048.25</v>
      </c>
      <c r="H114" s="317" t="s"/>
      <c r="I114" s="318">
        <v>0.022634</v>
      </c>
      <c r="J114" s="323">
        <f>G114*I114/365</f>
        <v>85681.7851290151</v>
      </c>
    </row>
    <row r="115" spans="1:11">
      <c r="A115" s="333">
        <v>46132</v>
      </c>
      <c r="B115" s="345">
        <v>10005832.25</v>
      </c>
      <c r="C115" s="346">
        <v>-11533524.66</v>
      </c>
      <c r="D115" s="346">
        <v>34864291.1</v>
      </c>
      <c r="F115" s="337">
        <f>SUM(B115:E115)</f>
        <v>33336598.69</v>
      </c>
      <c r="G115" s="343">
        <f>G114+F115</f>
        <v>1415056646.94</v>
      </c>
      <c r="H115" s="317" t="s"/>
      <c r="I115" s="318">
        <v>0.022634</v>
      </c>
      <c r="J115" s="323">
        <f>G115*I115/365</f>
        <v>87749.0195803835</v>
      </c>
      <c r="K115" s="86" t="s">
        <v>316</v>
      </c>
    </row>
    <row r="116" spans="1:10">
      <c r="A116" s="333">
        <v>46133</v>
      </c>
      <c r="B116" s="345">
        <v>90504144.96</v>
      </c>
      <c r="C116" s="346">
        <v>74350.67</v>
      </c>
      <c r="D116" s="346">
        <v>-26644769.06</v>
      </c>
      <c r="F116" s="337">
        <f>SUM(B116:E116)</f>
        <v>63933726.57</v>
      </c>
      <c r="G116" s="343">
        <f>G115+F116</f>
        <v>1478990373.51</v>
      </c>
      <c r="H116" s="317" t="s"/>
      <c r="I116" s="318">
        <v>0.022564</v>
      </c>
      <c r="J116" s="323">
        <f>G116*I116/365</f>
        <v>91429.969281862</v>
      </c>
    </row>
    <row r="117" spans="1:11">
      <c r="A117" s="333">
        <v>46134</v>
      </c>
      <c r="B117" s="345">
        <v>8194185.63</v>
      </c>
      <c r="C117" s="346">
        <v>-10517609.59</v>
      </c>
      <c r="D117" s="346">
        <v>-8256505.88</v>
      </c>
      <c r="F117" s="337">
        <f>SUM(B117:E117)</f>
        <v>-10579929.84</v>
      </c>
      <c r="G117" s="343">
        <f>G116+F117</f>
        <v>1468410443.67</v>
      </c>
      <c r="H117" s="317" t="s"/>
      <c r="I117" s="318">
        <v>0.022564</v>
      </c>
      <c r="J117" s="323">
        <f>G117*I117/365</f>
        <v>90775.926714986</v>
      </c>
      <c r="K117" s="86" t="s">
        <v>317</v>
      </c>
    </row>
    <row r="118" spans="1:11">
      <c r="A118" s="333">
        <v>46135</v>
      </c>
      <c r="B118" s="345">
        <v>142318079.83</v>
      </c>
      <c r="C118" s="346">
        <v>-41159253.42</v>
      </c>
      <c r="D118" s="354">
        <v>-125727545.89</v>
      </c>
      <c r="F118" s="337">
        <f>SUM(B118:E118)</f>
        <v>-24568719.48</v>
      </c>
      <c r="G118" s="343">
        <f>G117+F118</f>
        <v>1443841724.19</v>
      </c>
      <c r="H118" s="317" t="s"/>
      <c r="I118" s="318">
        <v>0.022281</v>
      </c>
      <c r="J118" s="323">
        <f>G118*I118/365</f>
        <v>88137.6368676093</v>
      </c>
      <c r="K118" s="358" t="s">
        <v>318</v>
      </c>
    </row>
    <row r="119" spans="1:10">
      <c r="A119" s="333">
        <v>46136</v>
      </c>
      <c r="B119" s="345">
        <v>59096819.07</v>
      </c>
      <c r="C119" s="346" t="s">
        <v>306</v>
      </c>
      <c r="D119" s="354">
        <v>-100523484.24</v>
      </c>
      <c r="F119" s="337">
        <f>SUM(B119:E119)</f>
        <v>-41426665.17</v>
      </c>
      <c r="G119" s="343">
        <f>G118+F119</f>
        <v>1402415059.02</v>
      </c>
      <c r="H119" s="356" t="s">
        <v>314</v>
      </c>
      <c r="I119" s="318">
        <v>0.022281</v>
      </c>
      <c r="J119" s="323">
        <f>G119*I119/365</f>
        <v>85608.7943288346</v>
      </c>
    </row>
    <row r="120" spans="1:10">
      <c r="A120" s="333">
        <v>46137</v>
      </c>
      <c r="B120" s="345" t="s">
        <v>209</v>
      </c>
      <c r="C120" s="346" t="s">
        <v>209</v>
      </c>
      <c r="D120" s="346" t="s">
        <v>209</v>
      </c>
      <c r="F120" s="337">
        <f>SUM(B120:E120)</f>
        <v>0</v>
      </c>
      <c r="G120" s="343">
        <f>G119+F120</f>
        <v>1402415059.02</v>
      </c>
      <c r="H120" s="317" t="s"/>
      <c r="I120" s="318">
        <v>0.022281</v>
      </c>
      <c r="J120" s="323">
        <f>G120*I120/365</f>
        <v>85608.7943288346</v>
      </c>
    </row>
    <row r="121" spans="1:10">
      <c r="A121" s="333">
        <v>46138</v>
      </c>
      <c r="B121" s="345" t="s">
        <v>209</v>
      </c>
      <c r="C121" s="346" t="s">
        <v>209</v>
      </c>
      <c r="D121" s="346" t="s">
        <v>209</v>
      </c>
      <c r="F121" s="337">
        <f>SUM(B121:E121)</f>
        <v>0</v>
      </c>
      <c r="G121" s="343">
        <f>G120+F121</f>
        <v>1402415059.02</v>
      </c>
      <c r="H121" s="317" t="s"/>
      <c r="I121" s="318">
        <v>0.022281</v>
      </c>
      <c r="J121" s="323">
        <f>G121*I121/365</f>
        <v>85608.7943288346</v>
      </c>
    </row>
    <row r="122" spans="1:10">
      <c r="A122" s="333">
        <v>46139</v>
      </c>
      <c r="B122" s="345">
        <v>-141667113.01</v>
      </c>
      <c r="C122" s="346" t="s">
        <v>306</v>
      </c>
      <c r="D122" s="346">
        <v>60764976.71</v>
      </c>
      <c r="F122" s="337">
        <f>SUM(B122:E122)</f>
        <v>-80902136.3</v>
      </c>
      <c r="G122" s="343">
        <f>G121+F122</f>
        <v>1321512922.72</v>
      </c>
      <c r="H122" s="317" t="s"/>
      <c r="I122" s="318">
        <v>0.022281</v>
      </c>
      <c r="J122" s="323">
        <f>G122*I122/365</f>
        <v>80670.2176195187</v>
      </c>
    </row>
    <row r="123" spans="1:10">
      <c r="A123" s="333">
        <v>46140</v>
      </c>
      <c r="B123" s="345">
        <v>189702554.53</v>
      </c>
      <c r="C123" s="346">
        <v>51259166.44</v>
      </c>
      <c r="D123" s="346">
        <v>-54536898.64</v>
      </c>
      <c r="F123" s="337">
        <f>SUM(B123:E123)</f>
        <v>186424822.33</v>
      </c>
      <c r="G123" s="343">
        <f>G122+F123</f>
        <v>1507937745.05</v>
      </c>
      <c r="H123" s="317" t="s"/>
      <c r="I123" s="318">
        <v>0.022206</v>
      </c>
      <c r="J123" s="323">
        <f>G123*I123/365</f>
        <v>91740.4536070693</v>
      </c>
    </row>
    <row r="124" spans="1:10">
      <c r="A124" s="333">
        <v>46141</v>
      </c>
      <c r="B124" s="345">
        <v>-36525720.69</v>
      </c>
      <c r="C124" s="346">
        <v>-40631106.85</v>
      </c>
      <c r="D124" s="346">
        <v>-12787819.18</v>
      </c>
      <c r="F124" s="337">
        <f>SUM(B124:E124)</f>
        <v>-89944646.72</v>
      </c>
      <c r="G124" s="343">
        <f>G123+F124</f>
        <v>1417993098.33</v>
      </c>
      <c r="H124" s="317" t="s"/>
      <c r="I124" s="318">
        <v>0.022206</v>
      </c>
      <c r="J124" s="323">
        <f>G124*I124/365</f>
        <v>86268.3691548383</v>
      </c>
    </row>
    <row r="125" spans="1:10">
      <c r="A125" s="333">
        <v>46142</v>
      </c>
      <c r="B125" s="345">
        <v>119611390.42</v>
      </c>
      <c r="C125" s="346">
        <v>-20199775.34</v>
      </c>
      <c r="D125" s="354">
        <v>-152614306.15</v>
      </c>
      <c r="F125" s="337">
        <f>SUM(B125:E125)</f>
        <v>-53202691.07</v>
      </c>
      <c r="G125" s="343">
        <f>G124+F125</f>
        <v>1364790407.26</v>
      </c>
      <c r="H125" s="356" t="s">
        <v>314</v>
      </c>
      <c r="I125" s="318">
        <v>0.022206</v>
      </c>
      <c r="J125" s="323">
        <f>G125*I125/365</f>
        <v>83031.604886618</v>
      </c>
    </row>
    <row r="126" spans="1:10">
      <c r="A126" s="333">
        <v>46143</v>
      </c>
      <c r="B126" s="345" t="s">
        <v>209</v>
      </c>
      <c r="C126" s="346" t="s">
        <v>209</v>
      </c>
      <c r="D126" s="346" t="s">
        <v>209</v>
      </c>
      <c r="F126" s="337">
        <f>SUM(B126:E126)</f>
        <v>0</v>
      </c>
      <c r="G126" s="343">
        <f>G125+F126</f>
        <v>1364790407.26</v>
      </c>
      <c r="H126" s="317" t="s"/>
      <c r="I126" s="318">
        <v>0.022206</v>
      </c>
      <c r="J126" s="323">
        <f>G126*I126/365</f>
        <v>83031.604886618</v>
      </c>
    </row>
    <row r="127" spans="1:10">
      <c r="A127" s="333">
        <v>46144</v>
      </c>
      <c r="B127" s="345" t="s">
        <v>209</v>
      </c>
      <c r="C127" s="346" t="s">
        <v>209</v>
      </c>
      <c r="D127" s="346" t="s">
        <v>209</v>
      </c>
      <c r="F127" s="337">
        <f>SUM(B127:E127)</f>
        <v>0</v>
      </c>
      <c r="G127" s="343">
        <f>G126+F127</f>
        <v>1364790407.26</v>
      </c>
      <c r="H127" s="317" t="s"/>
      <c r="I127" s="318">
        <v>0.022206</v>
      </c>
      <c r="J127" s="323">
        <f>G127*I127/365</f>
        <v>83031.604886618</v>
      </c>
    </row>
    <row r="128" spans="1:10">
      <c r="A128" s="333">
        <v>46145</v>
      </c>
      <c r="B128" s="345" t="s">
        <v>209</v>
      </c>
      <c r="C128" s="346" t="s">
        <v>209</v>
      </c>
      <c r="D128" s="346" t="s">
        <v>209</v>
      </c>
      <c r="F128" s="337">
        <f>SUM(B128:E128)</f>
        <v>0</v>
      </c>
      <c r="G128" s="343">
        <f>G127+F128</f>
        <v>1364790407.26</v>
      </c>
      <c r="H128" s="317" t="s"/>
      <c r="I128" s="318">
        <v>0.022206</v>
      </c>
      <c r="J128" s="323">
        <f>G128*I128/365</f>
        <v>83031.604886618</v>
      </c>
    </row>
    <row r="129" spans="1:10">
      <c r="A129" s="333">
        <v>46146</v>
      </c>
      <c r="B129" s="345" t="s">
        <v>209</v>
      </c>
      <c r="C129" s="346" t="s">
        <v>209</v>
      </c>
      <c r="D129" s="346" t="s">
        <v>209</v>
      </c>
      <c r="F129" s="337">
        <f>SUM(B129:E129)</f>
        <v>0</v>
      </c>
      <c r="G129" s="343">
        <f>G128+F129</f>
        <v>1364790407.26</v>
      </c>
      <c r="H129" s="317" t="s"/>
      <c r="I129" s="318">
        <v>0.022206</v>
      </c>
      <c r="J129" s="323">
        <f>G129*I129/365</f>
        <v>83031.604886618</v>
      </c>
    </row>
    <row r="130" spans="1:10">
      <c r="A130" s="333">
        <v>46147</v>
      </c>
      <c r="B130" s="345" t="s">
        <v>209</v>
      </c>
      <c r="C130" s="346" t="s">
        <v>209</v>
      </c>
      <c r="D130" s="346" t="s">
        <v>209</v>
      </c>
      <c r="F130" s="337">
        <f>SUM(B130:E130)</f>
        <v>0</v>
      </c>
      <c r="G130" s="343">
        <f>G129+F130</f>
        <v>1364790407.26</v>
      </c>
      <c r="H130" s="317" t="s"/>
      <c r="I130" s="318">
        <v>0.022206</v>
      </c>
      <c r="J130" s="323">
        <f>G130*I130/365</f>
        <v>83031.604886618</v>
      </c>
    </row>
    <row r="131" spans="1:10">
      <c r="A131" s="333">
        <v>46148</v>
      </c>
      <c r="B131" s="345">
        <v>-51740679.27</v>
      </c>
      <c r="C131" s="346" t="s">
        <v>306</v>
      </c>
      <c r="D131" s="354">
        <v>120684724.51</v>
      </c>
      <c r="F131" s="337">
        <f>SUM(B131:E131)</f>
        <v>68944045.24</v>
      </c>
      <c r="G131" s="343">
        <f>G130+F131</f>
        <v>1433734452.5</v>
      </c>
      <c r="H131" s="317" t="s"/>
      <c r="I131" s="318">
        <v>0.022037</v>
      </c>
      <c r="J131" s="323">
        <f>G131*I131/365</f>
        <v>86562.208574637</v>
      </c>
    </row>
    <row r="132" spans="1:10">
      <c r="A132" s="333">
        <v>46149</v>
      </c>
      <c r="B132" s="345">
        <v>20957428.38</v>
      </c>
      <c r="C132" s="346">
        <v>-25362679.38</v>
      </c>
      <c r="D132" s="346">
        <v>4501310.68</v>
      </c>
      <c r="F132" s="337">
        <f>SUM(B132:E132)</f>
        <v>96059.6799999997</v>
      </c>
      <c r="G132" s="343">
        <f>G131+F132</f>
        <v>1433830512.18</v>
      </c>
      <c r="H132" s="317" t="s"/>
      <c r="I132" s="318">
        <v>0.021998</v>
      </c>
      <c r="J132" s="323">
        <f>G132*I132/365</f>
        <v>86414.8044025634</v>
      </c>
    </row>
    <row r="133" spans="1:10">
      <c r="A133" s="333">
        <v>46150</v>
      </c>
      <c r="B133" s="345">
        <v>-60229133.7</v>
      </c>
      <c r="C133" s="346">
        <v>-4603678.08</v>
      </c>
      <c r="D133" s="346">
        <v>-20894063.02</v>
      </c>
      <c r="F133" s="337">
        <f>SUM(B133:E133)</f>
        <v>-85726874.8</v>
      </c>
      <c r="G133" s="343">
        <f>G132+F133</f>
        <v>1348103637.38</v>
      </c>
      <c r="H133" s="317" t="s"/>
      <c r="I133" s="318">
        <v>0.022025</v>
      </c>
      <c r="J133" s="323">
        <f>G133*I133/365</f>
        <v>81347.8975706699</v>
      </c>
    </row>
    <row r="134" spans="1:10">
      <c r="A134" s="333">
        <v>46151</v>
      </c>
      <c r="B134" s="345" t="s">
        <v>209</v>
      </c>
      <c r="C134" s="346" t="s">
        <v>209</v>
      </c>
      <c r="D134" s="346" t="s">
        <v>209</v>
      </c>
      <c r="F134" s="337">
        <f>SUM(B134:E134)</f>
        <v>0</v>
      </c>
      <c r="G134" s="343">
        <f>G133+F134</f>
        <v>1348103637.38</v>
      </c>
      <c r="H134" s="317" t="s"/>
      <c r="I134" s="318">
        <v>0.022025</v>
      </c>
      <c r="J134" s="323">
        <f>G134*I134/365</f>
        <v>81347.8975706699</v>
      </c>
    </row>
    <row r="135" spans="1:10">
      <c r="A135" s="333">
        <v>46152</v>
      </c>
      <c r="B135" s="345" t="s">
        <v>209</v>
      </c>
      <c r="C135" s="346" t="s">
        <v>209</v>
      </c>
      <c r="D135" s="346" t="s">
        <v>209</v>
      </c>
      <c r="F135" s="337">
        <f>SUM(B135:E135)</f>
        <v>0</v>
      </c>
      <c r="G135" s="343">
        <f>G134+F135</f>
        <v>1348103637.38</v>
      </c>
      <c r="H135" s="317" t="s"/>
      <c r="I135" s="318">
        <v>0.022025</v>
      </c>
      <c r="J135" s="323">
        <f>G135*I135/365</f>
        <v>81347.8975706699</v>
      </c>
    </row>
    <row r="136" spans="1:10">
      <c r="A136" s="333">
        <v>46153</v>
      </c>
      <c r="B136" s="345">
        <v>12062476.03</v>
      </c>
      <c r="C136" s="346" t="s">
        <v>306</v>
      </c>
      <c r="D136" s="346">
        <v>7444735.08</v>
      </c>
      <c r="F136" s="337">
        <f>SUM(B136:E136)</f>
        <v>19507211.11</v>
      </c>
      <c r="G136" s="343">
        <f>G135+F136</f>
        <v>1367610848.49</v>
      </c>
      <c r="H136" s="317" t="s"/>
      <c r="I136" s="318">
        <v>0.022027</v>
      </c>
      <c r="J136" s="323">
        <f>G136*I136/365</f>
        <v>82532.5045470938</v>
      </c>
    </row>
    <row r="137" spans="1:10">
      <c r="A137" s="333">
        <v>46154</v>
      </c>
      <c r="B137" s="345">
        <v>144008384.54</v>
      </c>
      <c r="C137" s="346">
        <v>-9332036.82</v>
      </c>
      <c r="D137" s="354">
        <v>-120808381.23</v>
      </c>
      <c r="F137" s="337">
        <f>SUM(B137:E137)</f>
        <v>13867966.49</v>
      </c>
      <c r="G137" s="343">
        <f>G136+F137</f>
        <v>1381478814.98</v>
      </c>
      <c r="H137" s="317" t="s"/>
      <c r="I137" s="318">
        <v>0.022027</v>
      </c>
      <c r="J137" s="323">
        <f>G137*I137/365</f>
        <v>83369.4078289437</v>
      </c>
    </row>
    <row r="138" spans="1:10">
      <c r="A138" s="333">
        <v>46155</v>
      </c>
      <c r="B138" s="345">
        <v>-24473109.16</v>
      </c>
      <c r="C138" s="346">
        <v>29775136.98</v>
      </c>
      <c r="D138" s="346">
        <v>-6613998.34</v>
      </c>
      <c r="F138" s="337">
        <f>SUM(B138:E138)</f>
        <v>-1311970.52</v>
      </c>
      <c r="G138" s="343">
        <f>G137+F138</f>
        <v>1380166844.46</v>
      </c>
      <c r="H138" s="317" t="s"/>
      <c r="I138" s="318">
        <v>0.022001</v>
      </c>
      <c r="J138" s="323">
        <f>G138*I138/365</f>
        <v>83191.9198492177</v>
      </c>
    </row>
    <row r="139" spans="1:11">
      <c r="A139" s="333">
        <v>46156</v>
      </c>
      <c r="B139" s="345">
        <v>8176411.51</v>
      </c>
      <c r="C139" s="346">
        <v>7961229.32</v>
      </c>
      <c r="D139" s="346">
        <v>-84744815.66</v>
      </c>
      <c r="F139" s="337">
        <f>SUM(B139:E139)</f>
        <v>-68607174.83</v>
      </c>
      <c r="G139" s="343">
        <f>G138+F139</f>
        <v>1311559669.63</v>
      </c>
      <c r="H139" s="317" t="s"/>
      <c r="I139" s="318">
        <v>0.021882</v>
      </c>
      <c r="J139" s="323">
        <f>G139*I139/365</f>
        <v>78628.9005228593</v>
      </c>
      <c r="K139" s="86" t="s">
        <v>319</v>
      </c>
    </row>
    <row r="140" spans="1:10">
      <c r="A140" s="333">
        <v>46157</v>
      </c>
      <c r="B140" s="345">
        <v>71018225.21</v>
      </c>
      <c r="C140" s="346">
        <v>-9069542.06</v>
      </c>
      <c r="D140" s="346">
        <v>-466737.26</v>
      </c>
      <c r="F140" s="337">
        <f>SUM(B140:E140)</f>
        <v>61481945.89</v>
      </c>
      <c r="G140" s="343">
        <f>G139+F140</f>
        <v>1373041615.52</v>
      </c>
      <c r="H140" s="356" t="s">
        <v>314</v>
      </c>
      <c r="I140" s="318">
        <v>0.021882</v>
      </c>
      <c r="J140" s="323">
        <f>G140*I140/365</f>
        <v>82314.7852898867</v>
      </c>
    </row>
    <row r="141" spans="1:11">
      <c r="A141" s="333">
        <v>46158</v>
      </c>
      <c r="B141" s="345" t="s">
        <v>209</v>
      </c>
      <c r="C141" s="346" t="s">
        <v>209</v>
      </c>
      <c r="D141" s="346" t="s">
        <v>209</v>
      </c>
      <c r="F141" s="337">
        <f>SUM(B141:E141)</f>
        <v>0</v>
      </c>
      <c r="G141" s="343">
        <f>G140+F141</f>
        <v>1373041615.52</v>
      </c>
      <c r="H141" s="317" t="s"/>
      <c r="I141" s="318">
        <v>0.021882</v>
      </c>
      <c r="J141" s="323">
        <f>G141*I141/365</f>
        <v>82314.7852898867</v>
      </c>
      <c r="K141" s="86" t="s"/>
    </row>
    <row r="142" spans="1:10">
      <c r="A142" s="333">
        <v>46159</v>
      </c>
      <c r="B142" s="345" t="s">
        <v>209</v>
      </c>
      <c r="C142" s="346" t="s">
        <v>209</v>
      </c>
      <c r="D142" s="346" t="s">
        <v>209</v>
      </c>
      <c r="F142" s="337">
        <f>SUM(B142:E142)</f>
        <v>0</v>
      </c>
      <c r="G142" s="343">
        <f>G141+F142</f>
        <v>1373041615.52</v>
      </c>
      <c r="H142" s="317" t="s"/>
      <c r="I142" s="318">
        <v>0.021882</v>
      </c>
      <c r="J142" s="323">
        <f>G142*I142/365</f>
        <v>82314.7852898867</v>
      </c>
    </row>
    <row r="143" spans="1:10">
      <c r="A143" s="333">
        <v>46160</v>
      </c>
      <c r="B143" s="345">
        <v>-137242667.42</v>
      </c>
      <c r="C143" s="346" t="s">
        <v>306</v>
      </c>
      <c r="D143" s="346">
        <v>55547359.45</v>
      </c>
      <c r="F143" s="337">
        <f>SUM(B143:E143)</f>
        <v>-81695307.97</v>
      </c>
      <c r="G143" s="343">
        <f>G142+F143</f>
        <v>1291346307.55</v>
      </c>
      <c r="H143" s="317" t="s"/>
      <c r="I143" s="318">
        <v>0.021544</v>
      </c>
      <c r="J143" s="323">
        <f>G143*I143/365</f>
        <v>76221.2735612526</v>
      </c>
    </row>
    <row r="144" spans="1:10">
      <c r="A144" s="333">
        <v>46161</v>
      </c>
      <c r="B144" s="345">
        <v>51273952.59</v>
      </c>
      <c r="C144" s="346">
        <v>-10095089.04</v>
      </c>
      <c r="D144" s="346">
        <v>-46675616.16</v>
      </c>
      <c r="F144" s="337">
        <f>SUM(B144:E144)</f>
        <v>-5496752.60999999</v>
      </c>
      <c r="G144" s="343">
        <f>G143+F144</f>
        <v>1285849554.94</v>
      </c>
      <c r="H144" s="317" t="s"/>
      <c r="I144" s="318">
        <v>0.021544</v>
      </c>
      <c r="J144" s="323">
        <f>G144*I144/365</f>
        <v>75896.8296208969</v>
      </c>
    </row>
    <row r="145" spans="1:10">
      <c r="A145" s="333">
        <v>46162</v>
      </c>
      <c r="B145" s="345">
        <v>31608314.31</v>
      </c>
      <c r="C145" s="346">
        <v>10004079.45</v>
      </c>
      <c r="D145" s="354">
        <v>106564788.91</v>
      </c>
      <c r="F145" s="359">
        <f>SUM(B145:E145)</f>
        <v>148177182.67</v>
      </c>
      <c r="G145" s="343">
        <f>G144+F145</f>
        <v>1434026737.61</v>
      </c>
      <c r="H145" s="317" t="s"/>
      <c r="I145" s="318">
        <v>0.021544</v>
      </c>
      <c r="J145" s="360">
        <f>G145*I145/365</f>
        <v>84642.9370823831</v>
      </c>
    </row>
    <row r="146" spans="1:11">
      <c r="A146" s="333">
        <v>46163</v>
      </c>
      <c r="B146" s="345">
        <v>-54150656.78</v>
      </c>
      <c r="C146" s="346">
        <v>9840277.95</v>
      </c>
      <c r="D146" s="346">
        <v>-42986782.49</v>
      </c>
      <c r="F146" s="337">
        <f>SUM(B146:E146)</f>
        <v>-87297161.32</v>
      </c>
      <c r="G146" s="343">
        <f>G145+F146</f>
        <v>1346729576.29</v>
      </c>
      <c r="H146" s="356" t="s">
        <v>314</v>
      </c>
      <c r="I146" s="318">
        <v>0.02168</v>
      </c>
      <c r="J146" s="323">
        <f>G146*I146/365</f>
        <v>79992.047161554</v>
      </c>
      <c r="K146" s="86" t="s">
        <v>320</v>
      </c>
    </row>
    <row r="147" spans="1:10">
      <c r="A147" s="333">
        <v>46164</v>
      </c>
      <c r="B147" s="345">
        <v>-35725360.04</v>
      </c>
      <c r="C147" s="346">
        <v>19816736.99</v>
      </c>
      <c r="D147" s="346">
        <v>90875206.84</v>
      </c>
      <c r="F147" s="337">
        <f>SUM(B147:E147)</f>
        <v>74966583.79</v>
      </c>
      <c r="G147" s="343">
        <f>G146+F147</f>
        <v>1421696160.08</v>
      </c>
      <c r="H147" s="317" t="s"/>
      <c r="I147" s="318">
        <v>0.02168</v>
      </c>
      <c r="J147" s="323">
        <f>G147*I147/365</f>
        <v>84444.8568507792</v>
      </c>
    </row>
    <row r="148" spans="1:10">
      <c r="A148" s="333">
        <v>46165</v>
      </c>
      <c r="B148" s="345" t="s">
        <v>209</v>
      </c>
      <c r="C148" s="346" t="s">
        <v>209</v>
      </c>
      <c r="D148" s="346" t="s">
        <v>209</v>
      </c>
      <c r="F148" s="337">
        <f>SUM(B148:E148)</f>
        <v>0</v>
      </c>
      <c r="G148" s="343">
        <f>G147+F148</f>
        <v>1421696160.08</v>
      </c>
      <c r="H148" s="317" t="s"/>
      <c r="I148" s="318">
        <v>0.02168</v>
      </c>
      <c r="J148" s="323">
        <f>G148*I148/365</f>
        <v>84444.8568507792</v>
      </c>
    </row>
    <row r="149" spans="1:10">
      <c r="A149" s="333">
        <v>46166</v>
      </c>
      <c r="B149" s="345" t="s">
        <v>209</v>
      </c>
      <c r="C149" s="346" t="s">
        <v>209</v>
      </c>
      <c r="D149" s="346" t="s">
        <v>209</v>
      </c>
      <c r="F149" s="337">
        <f>SUM(B149:E149)</f>
        <v>0</v>
      </c>
      <c r="G149" s="343">
        <f>G148+F149</f>
        <v>1421696160.08</v>
      </c>
      <c r="H149" s="317" t="s"/>
      <c r="I149" s="318">
        <v>0.02168</v>
      </c>
      <c r="J149" s="323">
        <f>G149*I149/365</f>
        <v>84444.8568507792</v>
      </c>
    </row>
    <row r="150" spans="1:10">
      <c r="A150" s="333">
        <v>46167</v>
      </c>
      <c r="B150" s="345">
        <v>39851345.21</v>
      </c>
      <c r="C150" s="346" t="s">
        <v>306</v>
      </c>
      <c r="D150" s="346">
        <v>-177679.46</v>
      </c>
      <c r="F150" s="337">
        <f>SUM(B150:E150)</f>
        <v>39673665.75</v>
      </c>
      <c r="G150" s="343">
        <f>G149+F150</f>
        <v>1461369825.83</v>
      </c>
      <c r="H150" s="356" t="s">
        <v>314</v>
      </c>
      <c r="I150" s="318">
        <v>0.02168</v>
      </c>
      <c r="J150" s="323">
        <f>G150*I150/365</f>
        <v>86801.3639013546</v>
      </c>
    </row>
    <row r="151" spans="1:10">
      <c r="A151" s="333">
        <v>46168</v>
      </c>
      <c r="B151" s="345">
        <v>15124551.98</v>
      </c>
      <c r="C151" s="346">
        <v>-19749967.12</v>
      </c>
      <c r="D151" s="346">
        <v>-5494393.02</v>
      </c>
      <c r="F151" s="337">
        <f>SUM(B151:E151)</f>
        <v>-10119808.16</v>
      </c>
      <c r="G151" s="343">
        <f>G150+F151</f>
        <v>1451250017.67</v>
      </c>
      <c r="H151" s="317" t="s"/>
      <c r="I151" s="318">
        <v>0.02168</v>
      </c>
      <c r="J151" s="323">
        <f>G151*I151/365</f>
        <v>86200.2750221523</v>
      </c>
    </row>
    <row r="152" spans="1:10">
      <c r="A152" s="333">
        <v>46169</v>
      </c>
      <c r="B152" s="345">
        <v>-3055892.12</v>
      </c>
      <c r="C152" s="346">
        <v>-1544666.2</v>
      </c>
      <c r="D152" s="346">
        <v>58868089.87</v>
      </c>
      <c r="F152" s="337">
        <f>SUM(B152:E152)</f>
        <v>54267531.55</v>
      </c>
      <c r="G152" s="343">
        <f>G151+F152</f>
        <v>1505517549.22</v>
      </c>
      <c r="H152" s="317" t="s"/>
      <c r="I152" s="318">
        <v>0.021623</v>
      </c>
      <c r="J152" s="323">
        <f>G152*I152/365</f>
        <v>89188.5094980385</v>
      </c>
    </row>
    <row r="153" spans="1:11">
      <c r="A153" s="333">
        <v>46170</v>
      </c>
      <c r="B153" s="345">
        <v>-138381763.46</v>
      </c>
      <c r="C153" s="346">
        <v>-53788360.27</v>
      </c>
      <c r="D153" s="346">
        <v>-97076312.28</v>
      </c>
      <c r="F153" s="337">
        <f>SUM(B153:E153)</f>
        <v>-289246436.01</v>
      </c>
      <c r="G153" s="343">
        <f>G152+F153</f>
        <v>1216271113.21</v>
      </c>
      <c r="H153" s="317" t="s"/>
      <c r="I153" s="318">
        <v>0.021533</v>
      </c>
      <c r="J153" s="323">
        <f>G153*I153/365</f>
        <v>71753.3311801395</v>
      </c>
      <c r="K153" s="361" t="s">
        <v>321</v>
      </c>
    </row>
    <row r="154" spans="1:11">
      <c r="A154" s="333">
        <v>46171</v>
      </c>
      <c r="B154" s="345">
        <v>-166799.29</v>
      </c>
      <c r="C154" s="346" t="s">
        <v>306</v>
      </c>
      <c r="D154" s="354">
        <v>131572291.52</v>
      </c>
      <c r="F154" s="337">
        <f>SUM(B154:E154)</f>
        <v>131405492.23</v>
      </c>
      <c r="G154" s="343">
        <f>G153+F154</f>
        <v>1347676605.44</v>
      </c>
      <c r="H154" s="356" t="s">
        <v>314</v>
      </c>
      <c r="I154" s="318">
        <v>0.021533</v>
      </c>
      <c r="J154" s="323">
        <f>G154*I154/365</f>
        <v>79505.5351916151</v>
      </c>
      <c r="K154" s="361" t="s"/>
    </row>
    <row r="155" spans="1:10">
      <c r="A155" s="333">
        <v>46172</v>
      </c>
      <c r="B155" s="345" t="s">
        <v>209</v>
      </c>
      <c r="C155" s="346" t="s">
        <v>209</v>
      </c>
      <c r="D155" s="346" t="s">
        <v>209</v>
      </c>
      <c r="F155" s="337">
        <f>SUM(B155:E155)</f>
        <v>0</v>
      </c>
      <c r="G155" s="343">
        <f>G154+F155</f>
        <v>1347676605.44</v>
      </c>
      <c r="H155" s="317" t="s"/>
      <c r="I155" s="318">
        <v>0.021533</v>
      </c>
      <c r="J155" s="323">
        <f>G155*I155/365</f>
        <v>79505.5351916151</v>
      </c>
    </row>
    <row r="156" spans="1:10">
      <c r="A156" s="333">
        <v>46173</v>
      </c>
      <c r="B156" s="362" t="s">
        <v>209</v>
      </c>
      <c r="C156" s="363" t="s">
        <v>209</v>
      </c>
      <c r="D156" s="363" t="s">
        <v>209</v>
      </c>
      <c r="F156" s="337">
        <f>SUM(B156:E156)</f>
        <v>0</v>
      </c>
      <c r="G156" s="343">
        <f>G155+F156</f>
        <v>1347676605.44</v>
      </c>
      <c r="H156" s="317" t="s"/>
      <c r="I156" s="318">
        <v>0.021533</v>
      </c>
      <c r="J156" s="323">
        <f>G156*I156/365</f>
        <v>79505.5351916151</v>
      </c>
    </row>
    <row r="157" spans="1:11">
      <c r="A157" s="333">
        <v>46174</v>
      </c>
      <c r="B157" s="345">
        <v>35403489.28</v>
      </c>
      <c r="C157" s="346">
        <v>20373843.84</v>
      </c>
      <c r="D157" s="346">
        <v>-39181326.84</v>
      </c>
      <c r="F157" s="337">
        <f>SUM(B157:E157)</f>
        <v>16596006.28</v>
      </c>
      <c r="G157" s="343">
        <f>G156+F157</f>
        <v>1364272611.72</v>
      </c>
      <c r="H157" s="317" t="s"/>
      <c r="I157" s="318">
        <v>0.021533</v>
      </c>
      <c r="J157" s="323">
        <f>G157*I157/365</f>
        <v>80484.6086251144</v>
      </c>
      <c r="K157" s="86" t="s">
        <v>322</v>
      </c>
    </row>
    <row r="158" spans="1:10">
      <c r="A158" s="333">
        <v>46175</v>
      </c>
      <c r="B158" s="345">
        <v>223881027.27</v>
      </c>
      <c r="C158" s="346">
        <v>31313272.06</v>
      </c>
      <c r="D158" s="354">
        <v>-109323734.53</v>
      </c>
      <c r="F158" s="337">
        <f>SUM(B158:E158)</f>
        <v>145870564.8</v>
      </c>
      <c r="G158" s="343">
        <f>G157+F158</f>
        <v>1510143176.52</v>
      </c>
      <c r="H158" s="317" t="s"/>
      <c r="I158" s="318">
        <v>0.021534</v>
      </c>
      <c r="J158" s="323">
        <f>G158*I158/365</f>
        <v>89094.3100361142</v>
      </c>
    </row>
    <row r="159" spans="1:10">
      <c r="A159" s="333">
        <v>46176</v>
      </c>
      <c r="B159" s="345">
        <v>-49010713.56</v>
      </c>
      <c r="C159" s="346">
        <v>85234.25</v>
      </c>
      <c r="D159" s="346">
        <v>-55307073.99</v>
      </c>
      <c r="F159" s="337">
        <f>SUM(B159:E159)</f>
        <v>-104232553.3</v>
      </c>
      <c r="G159" s="343">
        <f>G158+F159</f>
        <v>1405910623.22</v>
      </c>
      <c r="H159" s="317" t="s"/>
      <c r="I159" s="318">
        <v>0.021534</v>
      </c>
      <c r="J159" s="323">
        <f>G159*I159/365</f>
        <v>82944.8749600534</v>
      </c>
    </row>
    <row r="160" spans="1:10">
      <c r="A160" s="333">
        <v>46177</v>
      </c>
      <c r="B160" s="345">
        <v>103933806</v>
      </c>
      <c r="C160" s="346">
        <v>-10459101.37</v>
      </c>
      <c r="D160" s="346">
        <v>-52218672.19</v>
      </c>
      <c r="F160" s="337">
        <f>SUM(B160:E160)</f>
        <v>41256032.44</v>
      </c>
      <c r="G160" s="343">
        <f>G159+F160</f>
        <v>1447166655.66</v>
      </c>
      <c r="H160" s="317" t="s"/>
      <c r="I160" s="318">
        <v>0.021726</v>
      </c>
      <c r="J160" s="323">
        <f>G160*I160/365</f>
        <v>86140.1171530662</v>
      </c>
    </row>
    <row r="161" spans="1:11">
      <c r="A161" s="333">
        <v>46178</v>
      </c>
      <c r="B161" s="345">
        <v>161784032.6</v>
      </c>
      <c r="C161" s="346">
        <v>-625706.85</v>
      </c>
      <c r="D161" s="354">
        <v>-111533001.22</v>
      </c>
      <c r="F161" s="337">
        <f>SUM(B161:E161)</f>
        <v>49625324.53</v>
      </c>
      <c r="G161" s="343">
        <f>G160+F161</f>
        <v>1496791980.19</v>
      </c>
      <c r="H161" s="317" t="s"/>
      <c r="I161" s="318">
        <v>0.021726</v>
      </c>
      <c r="J161" s="323">
        <f>G161*I161/365</f>
        <v>89093.9796208437</v>
      </c>
      <c r="K161" s="86" t="s">
        <v>323</v>
      </c>
    </row>
    <row r="162" spans="1:10">
      <c r="A162" s="333">
        <v>46179</v>
      </c>
      <c r="B162" s="345" t="s">
        <v>209</v>
      </c>
      <c r="C162" s="346" t="s">
        <v>209</v>
      </c>
      <c r="D162" s="346" t="s">
        <v>209</v>
      </c>
      <c r="F162" s="337">
        <f>SUM(B162:E162)</f>
        <v>0</v>
      </c>
      <c r="G162" s="343">
        <f>G161+F162</f>
        <v>1496791980.19</v>
      </c>
      <c r="H162" s="317" t="s"/>
      <c r="I162" s="318">
        <v>0.021726</v>
      </c>
      <c r="J162" s="323">
        <f>G162*I162/365</f>
        <v>89093.9796208437</v>
      </c>
    </row>
    <row r="163" spans="1:10">
      <c r="A163" s="333">
        <v>46180</v>
      </c>
      <c r="B163" s="345" t="s">
        <v>209</v>
      </c>
      <c r="C163" s="346" t="s">
        <v>209</v>
      </c>
      <c r="D163" s="346" t="s">
        <v>209</v>
      </c>
      <c r="F163" s="337">
        <f>SUM(B163:E163)</f>
        <v>0</v>
      </c>
      <c r="G163" s="343">
        <f>G162+F163</f>
        <v>1496791980.19</v>
      </c>
      <c r="H163" s="317" t="s"/>
      <c r="I163" s="318">
        <v>0.021726</v>
      </c>
      <c r="J163" s="323">
        <f>G163*I163/365</f>
        <v>89093.9796208437</v>
      </c>
    </row>
    <row r="164" spans="1:10">
      <c r="A164" s="333">
        <v>46181</v>
      </c>
      <c r="B164" s="345">
        <v>79719285.89</v>
      </c>
      <c r="C164" s="346" t="s">
        <v>306</v>
      </c>
      <c r="D164" s="354">
        <v>-163165889.87</v>
      </c>
      <c r="F164" s="337">
        <f>SUM(B164:E164)</f>
        <v>-83446603.98</v>
      </c>
      <c r="G164" s="343">
        <f>G163+F164</f>
        <v>1413345376.21</v>
      </c>
      <c r="H164" s="317" t="s"/>
      <c r="I164" s="318">
        <v>0.021726</v>
      </c>
      <c r="J164" s="323">
        <f>G164*I164/365</f>
        <v>84126.9634069547</v>
      </c>
    </row>
    <row r="165" spans="1:10">
      <c r="A165" s="333">
        <v>46182</v>
      </c>
      <c r="B165" s="345">
        <v>64333611.52</v>
      </c>
      <c r="C165" s="346">
        <v>-1255135.34</v>
      </c>
      <c r="D165" s="346">
        <v>-10171585.2</v>
      </c>
      <c r="F165" s="337">
        <f>SUM(B165:E165)</f>
        <v>52906890.98</v>
      </c>
      <c r="G165" s="343">
        <f>G164+F165</f>
        <v>1466252267.19</v>
      </c>
      <c r="H165" s="317" t="s"/>
      <c r="I165" s="318">
        <v>0.021723</v>
      </c>
      <c r="J165" s="323">
        <f>G165*I165/365</f>
        <v>87264.1041100503</v>
      </c>
    </row>
    <row r="166" spans="1:11">
      <c r="A166" s="333">
        <v>46183</v>
      </c>
      <c r="B166" s="345">
        <v>68664508.9</v>
      </c>
      <c r="C166" s="346">
        <v>-20703672.61</v>
      </c>
      <c r="D166" s="346">
        <v>-98583840.98</v>
      </c>
      <c r="F166" s="337">
        <f>SUM(B166:E166)</f>
        <v>-50623004.69</v>
      </c>
      <c r="G166" s="343">
        <f>G165+F166</f>
        <v>1415629262.5</v>
      </c>
      <c r="H166" s="317" t="s"/>
      <c r="I166" s="318">
        <v>0.021723</v>
      </c>
      <c r="J166" s="323">
        <f>G166*I166/365</f>
        <v>84251.2725185959</v>
      </c>
      <c r="K166" s="86" t="s">
        <v>324</v>
      </c>
    </row>
    <row r="167" spans="1:11">
      <c r="A167" s="333">
        <v>46184</v>
      </c>
      <c r="B167" s="345">
        <v>54838427.69</v>
      </c>
      <c r="C167" s="346">
        <v>-200</v>
      </c>
      <c r="D167" s="346">
        <v>17897763.01</v>
      </c>
      <c r="F167" s="337">
        <f>SUM(B167:E167)</f>
        <v>72735990.7</v>
      </c>
      <c r="G167" s="343">
        <f>G166+F167</f>
        <v>1488365253.2</v>
      </c>
      <c r="H167" s="356" t="s">
        <v>314</v>
      </c>
      <c r="I167" s="318">
        <v>0.021436</v>
      </c>
      <c r="J167" s="323">
        <f>G167*I167/365</f>
        <v>87409.8563495759</v>
      </c>
      <c r="K167" s="86" t="s"/>
    </row>
    <row r="168" spans="1:11">
      <c r="A168" s="333">
        <v>46185</v>
      </c>
      <c r="B168" s="345">
        <v>-136595.07</v>
      </c>
      <c r="C168" s="346">
        <v>-10422761.64</v>
      </c>
      <c r="D168" s="346">
        <v>2616968.37</v>
      </c>
      <c r="F168" s="337">
        <f>SUM(B168:E168)</f>
        <v>-7942388.34</v>
      </c>
      <c r="G168" s="343">
        <f>G167+F168</f>
        <v>1480422864.86</v>
      </c>
      <c r="H168" s="317" t="s"/>
      <c r="I168" s="318">
        <v>0.021436</v>
      </c>
      <c r="J168" s="323">
        <f>G168*I168/365</f>
        <v>86943.4096743533</v>
      </c>
      <c r="K168" s="86" t="s">
        <v>325</v>
      </c>
    </row>
    <row r="169" spans="1:10">
      <c r="A169" s="333">
        <v>46186</v>
      </c>
      <c r="B169" s="345" t="s">
        <v>209</v>
      </c>
      <c r="C169" s="346" t="s">
        <v>209</v>
      </c>
      <c r="D169" s="346" t="s">
        <v>209</v>
      </c>
      <c r="F169" s="337">
        <f>SUM(B169:E169)</f>
        <v>0</v>
      </c>
      <c r="G169" s="343">
        <f>G168+F169</f>
        <v>1480422864.86</v>
      </c>
      <c r="H169" s="317" t="s"/>
      <c r="I169" s="318">
        <v>0.021436</v>
      </c>
      <c r="J169" s="323">
        <f>G169*I169/365</f>
        <v>86943.4096743533</v>
      </c>
    </row>
    <row r="170" spans="1:10">
      <c r="A170" s="333">
        <v>46187</v>
      </c>
      <c r="B170" s="345" t="s">
        <v>209</v>
      </c>
      <c r="C170" s="346" t="s">
        <v>209</v>
      </c>
      <c r="D170" s="346" t="s">
        <v>209</v>
      </c>
      <c r="F170" s="337">
        <f>SUM(B170:E170)</f>
        <v>0</v>
      </c>
      <c r="G170" s="343">
        <f>G169+F170</f>
        <v>1480422864.86</v>
      </c>
      <c r="H170" s="317" t="s"/>
      <c r="I170" s="318">
        <v>0.021436</v>
      </c>
      <c r="J170" s="323">
        <f>G170*I170/365</f>
        <v>86943.4096743533</v>
      </c>
    </row>
    <row r="171" spans="1:10">
      <c r="A171" s="333">
        <v>46188</v>
      </c>
      <c r="B171" s="345">
        <v>80250</v>
      </c>
      <c r="C171" s="346" t="s">
        <v>306</v>
      </c>
      <c r="D171" s="346">
        <v>-31406301.11</v>
      </c>
      <c r="F171" s="337">
        <f>SUM(B171:E171)</f>
        <v>-31326051.11</v>
      </c>
      <c r="G171" s="343">
        <f>G170+F171</f>
        <v>1449096813.75</v>
      </c>
      <c r="H171" s="317" t="s"/>
      <c r="I171" s="318">
        <v>0.021435</v>
      </c>
      <c r="J171" s="323">
        <f>G171*I171/365</f>
        <v>85099.6991855651</v>
      </c>
    </row>
    <row r="172" spans="1:10">
      <c r="A172" s="333">
        <v>46189</v>
      </c>
      <c r="B172" s="364">
        <v>-131432203.43</v>
      </c>
      <c r="C172" s="346">
        <v>45937099.73</v>
      </c>
      <c r="D172" s="365">
        <v>-21388398.9</v>
      </c>
      <c r="F172" s="337">
        <f>SUM(B172:E172)</f>
        <v>-106883502.6</v>
      </c>
      <c r="G172" s="343">
        <f>G171+F172</f>
        <v>1342213311.15</v>
      </c>
      <c r="H172" s="317" t="s"/>
      <c r="I172" s="318">
        <v>0.021422</v>
      </c>
      <c r="J172" s="323">
        <f>G172*I172/365</f>
        <v>78775.050825905</v>
      </c>
    </row>
    <row r="173" spans="1:10">
      <c r="A173" s="333">
        <v>46190</v>
      </c>
      <c r="B173" s="345">
        <v>19706871.05</v>
      </c>
      <c r="C173" s="346" t="s">
        <v>306</v>
      </c>
      <c r="D173" s="346">
        <v>-21289670.01</v>
      </c>
      <c r="F173" s="337">
        <f>SUM(B173:E173)</f>
        <v>-1582798.96</v>
      </c>
      <c r="G173" s="343">
        <f>G172+F173</f>
        <v>1340630512.19</v>
      </c>
      <c r="H173" s="317" t="s"/>
      <c r="I173" s="318">
        <v>0.021422</v>
      </c>
      <c r="J173" s="323">
        <f>G173*I173/365</f>
        <v>78682.1557044772</v>
      </c>
    </row>
    <row r="174" spans="1:11">
      <c r="A174" s="333">
        <v>46191</v>
      </c>
      <c r="B174" s="345">
        <v>22138102.83</v>
      </c>
      <c r="C174" s="346">
        <v>21540130.13</v>
      </c>
      <c r="D174" s="346">
        <v>-76118558.77</v>
      </c>
      <c r="F174" s="337">
        <f>SUM(B174:E174)</f>
        <v>-32440325.81</v>
      </c>
      <c r="G174" s="343">
        <f>G173+F174</f>
        <v>1308190186.38</v>
      </c>
      <c r="H174" s="317" t="s"/>
      <c r="I174" s="318">
        <v>0.021422</v>
      </c>
      <c r="J174" s="323">
        <f>G174*I174/365</f>
        <v>76778.2196510476</v>
      </c>
      <c r="K174" s="366" t="s">
        <v>326</v>
      </c>
    </row>
    <row r="175" spans="1:10">
      <c r="A175" s="333">
        <v>46192</v>
      </c>
      <c r="B175" s="345" t="s">
        <v>209</v>
      </c>
      <c r="C175" s="346" t="s">
        <v>209</v>
      </c>
      <c r="D175" s="346" t="s">
        <v>209</v>
      </c>
      <c r="F175" s="337">
        <f>SUM(B175:E175)</f>
        <v>0</v>
      </c>
      <c r="G175" s="343">
        <f>G174+F175</f>
        <v>1308190186.38</v>
      </c>
      <c r="H175" s="317" t="s"/>
      <c r="I175" s="318">
        <v>0.021422</v>
      </c>
      <c r="J175" s="323">
        <f>G175*I175/365</f>
        <v>76778.2196510476</v>
      </c>
    </row>
    <row r="176" spans="1:10">
      <c r="A176" s="333">
        <v>46193</v>
      </c>
      <c r="B176" s="345" t="s">
        <v>209</v>
      </c>
      <c r="C176" s="346" t="s">
        <v>209</v>
      </c>
      <c r="D176" s="346" t="s">
        <v>209</v>
      </c>
      <c r="F176" s="337">
        <f>SUM(B176:E176)</f>
        <v>0</v>
      </c>
      <c r="G176" s="343">
        <f>G175+F176</f>
        <v>1308190186.38</v>
      </c>
      <c r="H176" s="317" t="s"/>
      <c r="I176" s="318">
        <v>0.021422</v>
      </c>
      <c r="J176" s="323">
        <f>G176*I176/365</f>
        <v>76778.2196510476</v>
      </c>
    </row>
    <row r="177" spans="1:10">
      <c r="A177" s="333">
        <v>46194</v>
      </c>
      <c r="B177" s="345" t="s">
        <v>209</v>
      </c>
      <c r="C177" s="346" t="s">
        <v>209</v>
      </c>
      <c r="D177" s="346" t="s">
        <v>209</v>
      </c>
      <c r="F177" s="337">
        <f>SUM(B177:E177)</f>
        <v>0</v>
      </c>
      <c r="G177" s="343">
        <f>G176+F177</f>
        <v>1308190186.38</v>
      </c>
      <c r="H177" s="317" t="s"/>
      <c r="I177" s="318">
        <v>0.021422</v>
      </c>
      <c r="J177" s="323">
        <f>G177*I177/365</f>
        <v>76778.2196510476</v>
      </c>
    </row>
    <row r="178" spans="1:10">
      <c r="A178" s="333">
        <v>46195</v>
      </c>
      <c r="B178" s="345">
        <v>150472276.98</v>
      </c>
      <c r="C178" s="346">
        <v>-400</v>
      </c>
      <c r="D178" s="346">
        <v>-40866697.13</v>
      </c>
      <c r="F178" s="337">
        <f>SUM(B178:E178)</f>
        <v>109605179.85</v>
      </c>
      <c r="G178" s="343">
        <f>G177+F178</f>
        <v>1417795366.23</v>
      </c>
      <c r="H178" s="317" t="s"/>
      <c r="I178" s="318">
        <v>0.021396</v>
      </c>
      <c r="J178" s="323">
        <f>G178*I178/365</f>
        <v>83109.9990571427</v>
      </c>
    </row>
    <row r="179" spans="1:10">
      <c r="A179" s="333">
        <v>46196</v>
      </c>
      <c r="B179" s="345">
        <v>-10079691.24</v>
      </c>
      <c r="C179" s="346">
        <v>-30240453.42</v>
      </c>
      <c r="D179" s="346">
        <v>55179590.42</v>
      </c>
      <c r="F179" s="337">
        <f>SUM(B179:E179)</f>
        <v>14859445.76</v>
      </c>
      <c r="G179" s="343">
        <f>G178+F179</f>
        <v>1432654811.99</v>
      </c>
      <c r="H179" s="317" t="s"/>
      <c r="I179" s="318">
        <v>0.021451</v>
      </c>
      <c r="J179" s="323">
        <f>G179*I179/365</f>
        <v>84196.9270465685</v>
      </c>
    </row>
    <row r="180" spans="1:10">
      <c r="A180" s="333">
        <v>46197</v>
      </c>
      <c r="B180" s="345">
        <v>153479800.35</v>
      </c>
      <c r="C180" s="346">
        <v>-10290987.67</v>
      </c>
      <c r="D180" s="346">
        <v>-99973641.65</v>
      </c>
      <c r="F180" s="337">
        <f>SUM(B180:E180)</f>
        <v>43215171.03</v>
      </c>
      <c r="G180" s="343">
        <f>G179+F180</f>
        <v>1475869983.02</v>
      </c>
      <c r="H180" s="356" t="s">
        <v>314</v>
      </c>
      <c r="I180" s="318">
        <v>0.021424</v>
      </c>
      <c r="J180" s="323">
        <f>G180*I180/365</f>
        <v>86627.5027841657</v>
      </c>
    </row>
    <row r="181" spans="1:11">
      <c r="A181" s="333">
        <v>46198</v>
      </c>
      <c r="B181" s="347">
        <v>-101332379.74</v>
      </c>
      <c r="C181" s="346" t="s">
        <v>306</v>
      </c>
      <c r="D181" s="367">
        <v>101538630.14</v>
      </c>
      <c r="F181" s="337">
        <f>SUM(B181:E181)</f>
        <v>206250.400000006</v>
      </c>
      <c r="G181" s="343">
        <f>G180+F181</f>
        <v>1476076233.42</v>
      </c>
      <c r="H181" s="317" t="s"/>
      <c r="I181" s="318">
        <v>0.020943</v>
      </c>
      <c r="J181" s="323">
        <f>G181*I181/365</f>
        <v>84694.423442507</v>
      </c>
      <c r="K181" s="86" t="s">
        <v>327</v>
      </c>
    </row>
    <row r="182" spans="1:10">
      <c r="A182" s="333">
        <v>46199</v>
      </c>
      <c r="B182" s="345">
        <v>-79118621.51</v>
      </c>
      <c r="C182" s="346" t="s">
        <v>306</v>
      </c>
      <c r="D182" s="346">
        <v>46065533.84</v>
      </c>
      <c r="F182" s="337">
        <f>SUM(B182:E182)</f>
        <v>-33053087.67</v>
      </c>
      <c r="G182" s="343">
        <f>G181+F182</f>
        <v>1443023145.75</v>
      </c>
      <c r="H182" s="317" t="s"/>
      <c r="I182" s="318">
        <v>0.020873</v>
      </c>
      <c r="J182" s="323">
        <f>G182*I182/365</f>
        <v>82521.1564965473</v>
      </c>
    </row>
    <row r="183" spans="1:10">
      <c r="A183" s="333">
        <v>46200</v>
      </c>
      <c r="B183" s="345" t="s">
        <v>209</v>
      </c>
      <c r="C183" s="346" t="s">
        <v>209</v>
      </c>
      <c r="D183" s="346" t="s">
        <v>209</v>
      </c>
      <c r="F183" s="337">
        <f>SUM(B183:E183)</f>
        <v>0</v>
      </c>
      <c r="G183" s="343">
        <f>G182+F183</f>
        <v>1443023145.75</v>
      </c>
      <c r="H183" s="317" t="s"/>
      <c r="I183" s="318">
        <v>0.020873</v>
      </c>
      <c r="J183" s="323">
        <f>G183*I183/365</f>
        <v>82521.1564965473</v>
      </c>
    </row>
    <row r="184" spans="1:10">
      <c r="A184" s="333">
        <v>46201</v>
      </c>
      <c r="B184" s="345" t="s">
        <v>209</v>
      </c>
      <c r="C184" s="346" t="s">
        <v>209</v>
      </c>
      <c r="D184" s="346" t="s">
        <v>209</v>
      </c>
      <c r="F184" s="337">
        <f>SUM(B184:E184)</f>
        <v>0</v>
      </c>
      <c r="G184" s="343">
        <f>G183+F184</f>
        <v>1443023145.75</v>
      </c>
      <c r="H184" s="317" t="s"/>
      <c r="I184" s="318">
        <v>0.020873</v>
      </c>
      <c r="J184" s="323">
        <f>G184*I184/365</f>
        <v>82521.1564965473</v>
      </c>
    </row>
    <row r="185" spans="1:11">
      <c r="A185" s="333">
        <v>46202</v>
      </c>
      <c r="B185" s="345">
        <v>39848504.37</v>
      </c>
      <c r="C185" s="346">
        <v>-330000</v>
      </c>
      <c r="D185" s="346">
        <v>-37614206.58</v>
      </c>
      <c r="F185" s="337">
        <f>SUM(B185:E185)</f>
        <v>1904297.79</v>
      </c>
      <c r="G185" s="343">
        <f>G184+F185</f>
        <v>1444927443.54</v>
      </c>
      <c r="H185" s="317" t="s"/>
      <c r="I185" s="318">
        <v>0.020873</v>
      </c>
      <c r="J185" s="323">
        <f>G185*I185/365</f>
        <v>82630.0562438642</v>
      </c>
      <c r="K185" s="86" t="s">
        <v>328</v>
      </c>
    </row>
    <row r="186" spans="1:10">
      <c r="A186" s="333">
        <v>46203</v>
      </c>
      <c r="B186" s="345">
        <v>61989581.43</v>
      </c>
      <c r="C186" s="346">
        <v>20740906.98</v>
      </c>
      <c r="D186" s="354">
        <v>-107173383.69</v>
      </c>
      <c r="F186" s="337">
        <f>SUM(B186:E186)</f>
        <v>-24442895.28</v>
      </c>
      <c r="G186" s="343">
        <f>G185+F186</f>
        <v>1420484548.26</v>
      </c>
      <c r="H186" s="356" t="s">
        <v>314</v>
      </c>
      <c r="I186" s="318">
        <v>0.020873</v>
      </c>
      <c r="J186" s="323">
        <f>G186*I186/365</f>
        <v>81232.2574680301</v>
      </c>
    </row>
    <row r="187" spans="1:10">
      <c r="A187" s="333">
        <v>46204</v>
      </c>
      <c r="B187" s="345">
        <v>-20846561.9</v>
      </c>
      <c r="C187" s="346">
        <v>-9986578.08</v>
      </c>
      <c r="D187" s="346">
        <v>-9649886.31</v>
      </c>
      <c r="F187" s="337">
        <f>SUM(B187:E187)</f>
        <v>-40483026.29</v>
      </c>
      <c r="G187" s="343">
        <f>G186+F187</f>
        <v>1380001521.97</v>
      </c>
      <c r="H187" s="317" t="s"/>
      <c r="I187" s="318">
        <v>0.020873</v>
      </c>
      <c r="J187" s="323">
        <f>G187*I187/365</f>
        <v>78917.1829262461</v>
      </c>
    </row>
    <row r="188" spans="1:10">
      <c r="A188" s="333">
        <v>46205</v>
      </c>
      <c r="B188" s="345">
        <v>675705.44</v>
      </c>
      <c r="C188" s="346" t="s">
        <v>306</v>
      </c>
      <c r="D188" s="346">
        <v>77095370.84</v>
      </c>
      <c r="F188" s="337">
        <f>SUM(B188:E188)</f>
        <v>77771076.28</v>
      </c>
      <c r="G188" s="343">
        <f>G187+F188</f>
        <v>1457772598.25</v>
      </c>
      <c r="H188" s="317" t="s"/>
      <c r="I188" s="318">
        <v>0.021338</v>
      </c>
      <c r="J188" s="323">
        <f>G188*I188/365</f>
        <v>85221.785483448</v>
      </c>
    </row>
    <row r="189" spans="1:10">
      <c r="A189" s="333">
        <v>46206</v>
      </c>
      <c r="B189" s="368">
        <v>19924868.35</v>
      </c>
      <c r="C189" s="346" t="s">
        <v>306</v>
      </c>
      <c r="D189" s="346">
        <v>-96352969.32</v>
      </c>
      <c r="F189" s="337">
        <f>SUM(B189:E189)</f>
        <v>-76428100.97</v>
      </c>
      <c r="G189" s="343">
        <f>G188+F189</f>
        <v>1381344497.28</v>
      </c>
      <c r="H189" s="317" t="s"/>
      <c r="I189" s="318">
        <v>0.02136</v>
      </c>
      <c r="J189" s="323">
        <f>G189*I189/365</f>
        <v>80837.03688192</v>
      </c>
    </row>
    <row r="190" spans="1:10">
      <c r="A190" s="333">
        <v>46207</v>
      </c>
      <c r="B190" s="345" t="s">
        <v>209</v>
      </c>
      <c r="C190" s="346" t="s">
        <v>209</v>
      </c>
      <c r="D190" s="346" t="s">
        <v>209</v>
      </c>
      <c r="F190" s="337">
        <f>SUM(B190:E190)</f>
        <v>0</v>
      </c>
      <c r="G190" s="343">
        <f>G189+F190</f>
        <v>1381344497.28</v>
      </c>
      <c r="H190" s="317" t="s"/>
      <c r="I190" s="318">
        <v>0.02136</v>
      </c>
      <c r="J190" s="323">
        <f>G190*I190/365</f>
        <v>80837.03688192</v>
      </c>
    </row>
    <row r="191" spans="1:10">
      <c r="A191" s="333">
        <v>46208</v>
      </c>
      <c r="B191" s="345" t="s">
        <v>209</v>
      </c>
      <c r="C191" s="346" t="s">
        <v>209</v>
      </c>
      <c r="D191" s="346" t="s">
        <v>209</v>
      </c>
      <c r="F191" s="337">
        <f>SUM(B191:E191)</f>
        <v>0</v>
      </c>
      <c r="G191" s="343">
        <f>G190+F191</f>
        <v>1381344497.28</v>
      </c>
      <c r="H191" s="317" t="s"/>
      <c r="I191" s="318">
        <v>0.02136</v>
      </c>
      <c r="J191" s="323">
        <f>G191*I191/365</f>
        <v>80837.03688192</v>
      </c>
    </row>
    <row r="192" spans="1:10">
      <c r="A192" s="333">
        <v>46209</v>
      </c>
      <c r="B192" s="345">
        <v>-20443896.57</v>
      </c>
      <c r="C192" s="346">
        <v>-20075589.04</v>
      </c>
      <c r="D192" s="354">
        <v>-129855660.66</v>
      </c>
      <c r="F192" s="337">
        <f>SUM(B192:E192)</f>
        <v>-170375146.27</v>
      </c>
      <c r="G192" s="343">
        <f>G191+F192</f>
        <v>1210969351.01</v>
      </c>
      <c r="H192" s="317" t="s"/>
      <c r="I192" s="318">
        <v>0.02136</v>
      </c>
      <c r="J192" s="323">
        <f>G192*I192/365</f>
        <v>70866.5899659551</v>
      </c>
    </row>
    <row r="193" spans="1:10">
      <c r="A193" s="333">
        <v>46210</v>
      </c>
      <c r="B193" s="345">
        <v>20000000</v>
      </c>
      <c r="C193" s="346">
        <v>-10064467.12</v>
      </c>
      <c r="D193" s="346">
        <v>-67013194.11</v>
      </c>
      <c r="F193" s="337">
        <f>SUM(B193:E193)</f>
        <v>-57077661.23</v>
      </c>
      <c r="G193" s="343">
        <f>G192+F193</f>
        <v>1153891689.78</v>
      </c>
      <c r="H193" s="317" t="s"/>
      <c r="I193" s="318">
        <v>0.02136</v>
      </c>
      <c r="J193" s="323">
        <f>G193*I193/365</f>
        <v>67526.3739553447</v>
      </c>
    </row>
    <row r="194" spans="1:10">
      <c r="A194" s="333">
        <v>46211</v>
      </c>
      <c r="B194" s="345">
        <v>-13108947.54</v>
      </c>
      <c r="C194" s="346">
        <v>-30092132.88</v>
      </c>
      <c r="D194" s="346">
        <v>-28643565.74</v>
      </c>
      <c r="F194" s="337">
        <f>SUM(B194:E194)</f>
        <v>-71844646.16</v>
      </c>
      <c r="G194" s="343">
        <f>G193+F194</f>
        <v>1082047043.62</v>
      </c>
      <c r="H194" s="317" t="s"/>
      <c r="I194" s="318">
        <v>0.02136</v>
      </c>
      <c r="J194" s="323">
        <f>G194*I194/365</f>
        <v>63321.9858951321</v>
      </c>
    </row>
    <row r="195" spans="1:10">
      <c r="A195" s="333">
        <v>46212</v>
      </c>
      <c r="B195" s="345">
        <v>26176396.53</v>
      </c>
      <c r="C195" s="346">
        <v>-10762828.22</v>
      </c>
      <c r="D195" s="369">
        <v>11123095.21</v>
      </c>
      <c r="F195" s="337">
        <f>SUM(B195:E195)</f>
        <v>26536663.52</v>
      </c>
      <c r="G195" s="343">
        <f>G194+F195</f>
        <v>1108583707.14</v>
      </c>
      <c r="H195" s="317" t="s"/>
      <c r="I195" s="318">
        <v>0.02136</v>
      </c>
      <c r="J195" s="323">
        <f>G195*I195/365</f>
        <v>64874.92598496</v>
      </c>
    </row>
    <row r="196" spans="1:10">
      <c r="A196" s="333">
        <v>46213</v>
      </c>
      <c r="B196" s="345">
        <v>-52174656.75</v>
      </c>
      <c r="C196" s="346">
        <v>5979405.48</v>
      </c>
      <c r="D196" s="369">
        <v>-15702386.31</v>
      </c>
      <c r="F196" s="337">
        <f>SUM(B196:E196)</f>
        <v>-61897637.58</v>
      </c>
      <c r="G196" s="343">
        <f>G195+F196</f>
        <v>1046686069.56</v>
      </c>
      <c r="H196" s="317" t="s"/>
      <c r="I196" s="318">
        <v>0.02136</v>
      </c>
      <c r="J196" s="323">
        <f>G196*I196/365</f>
        <v>61252.6423172647</v>
      </c>
    </row>
    <row r="197" spans="1:10">
      <c r="A197" s="333">
        <v>46214</v>
      </c>
      <c r="B197" s="345" t="s">
        <v>209</v>
      </c>
      <c r="C197" s="335" t="s">
        <v>209</v>
      </c>
      <c r="D197" s="346" t="s">
        <v>209</v>
      </c>
      <c r="F197" s="337">
        <f>SUM(B197:E197)</f>
        <v>0</v>
      </c>
      <c r="G197" s="343">
        <f>G196+F197</f>
        <v>1046686069.56</v>
      </c>
      <c r="H197" s="317" t="s"/>
      <c r="I197" s="318">
        <v>0.02136</v>
      </c>
      <c r="J197" s="323">
        <f>G197*I197/365</f>
        <v>61252.6423172647</v>
      </c>
    </row>
    <row r="198" spans="1:10">
      <c r="A198" s="333">
        <v>46215</v>
      </c>
      <c r="B198" s="345" t="s">
        <v>209</v>
      </c>
      <c r="C198" s="346" t="s">
        <v>209</v>
      </c>
      <c r="D198" s="346" t="s">
        <v>209</v>
      </c>
      <c r="F198" s="337">
        <f>SUM(B198:E198)</f>
        <v>0</v>
      </c>
      <c r="G198" s="343">
        <f>G197+F198</f>
        <v>1046686069.56</v>
      </c>
      <c r="H198" s="317" t="s"/>
      <c r="I198" s="318">
        <v>0.02136</v>
      </c>
      <c r="J198" s="323">
        <f>G198*I198/365</f>
        <v>61252.6423172647</v>
      </c>
    </row>
    <row r="199" spans="1:10">
      <c r="A199" s="333">
        <v>46216</v>
      </c>
      <c r="B199" s="345">
        <v>20264117.67</v>
      </c>
      <c r="C199" s="346">
        <v>16787497.26</v>
      </c>
      <c r="D199" s="346">
        <v>28968.49</v>
      </c>
      <c r="F199" s="337">
        <f>SUM(B199:E199)</f>
        <v>37080583.42</v>
      </c>
      <c r="G199" s="343">
        <f>G198+F199</f>
        <v>1083766652.98</v>
      </c>
      <c r="H199" s="317" t="s"/>
      <c r="I199" s="318">
        <v>0.02136</v>
      </c>
      <c r="J199" s="323">
        <f>G199*I199/365</f>
        <v>63422.618377131</v>
      </c>
    </row>
    <row r="200" spans="1:10">
      <c r="A200" s="333">
        <v>46217</v>
      </c>
      <c r="B200" s="345">
        <v>-14230</v>
      </c>
      <c r="C200" s="346">
        <v>-17148795.89</v>
      </c>
      <c r="D200" s="346">
        <v>-58902190.97</v>
      </c>
      <c r="F200" s="337">
        <f>SUM(B200:E200)</f>
        <v>-76065216.86</v>
      </c>
      <c r="G200" s="343">
        <f>G199+F200</f>
        <v>1007701436.12</v>
      </c>
      <c r="H200" s="356" t="s">
        <v>314</v>
      </c>
      <c r="I200" s="318">
        <v>0.02136</v>
      </c>
      <c r="J200" s="323">
        <f>G200*I200/365</f>
        <v>58971.2402069129</v>
      </c>
    </row>
    <row r="201" spans="1:10">
      <c r="A201" s="333">
        <v>46218</v>
      </c>
      <c r="B201" s="345">
        <v>59999980</v>
      </c>
      <c r="C201" s="346">
        <v>-47071361.18</v>
      </c>
      <c r="D201" s="346">
        <v>63558408.5</v>
      </c>
      <c r="F201" s="337">
        <f>SUM(B201:E201)</f>
        <v>76487027.32</v>
      </c>
      <c r="G201" s="343">
        <f>G200+F201</f>
        <v>1084188463.44</v>
      </c>
      <c r="H201" s="317" t="s"/>
      <c r="I201" s="318">
        <v>0.02136</v>
      </c>
      <c r="J201" s="323">
        <f>G201*I201/365</f>
        <v>63447.3029563792</v>
      </c>
    </row>
    <row r="202" spans="1:11">
      <c r="A202" s="333">
        <v>46219</v>
      </c>
      <c r="B202" s="345">
        <v>29350285.25</v>
      </c>
      <c r="C202" s="346">
        <v>-16190319.87</v>
      </c>
      <c r="D202" s="346">
        <v>4175836.98</v>
      </c>
      <c r="F202" s="337">
        <f>SUM(B202:E202)</f>
        <v>17335802.36</v>
      </c>
      <c r="G202" s="343">
        <f>G201+F202</f>
        <v>1101524265.8</v>
      </c>
      <c r="H202" s="317" t="s"/>
      <c r="I202" s="318">
        <v>0.02136</v>
      </c>
      <c r="J202" s="323">
        <f>G202*I202/365</f>
        <v>64461.8036095562</v>
      </c>
      <c r="K202" s="86" t="s">
        <v>329</v>
      </c>
    </row>
    <row r="203" spans="1:10">
      <c r="A203" s="333">
        <v>46220</v>
      </c>
      <c r="B203" s="370">
        <v>50962941.64</v>
      </c>
      <c r="C203" s="346">
        <v>5598392.6</v>
      </c>
      <c r="D203" s="345">
        <v>-141280713.7</v>
      </c>
      <c r="F203" s="337">
        <f>SUM(B203:E203)</f>
        <v>-84719379.46</v>
      </c>
      <c r="G203" s="343">
        <f>G202+F203</f>
        <v>1016804886.34</v>
      </c>
      <c r="H203" s="317" t="s"/>
      <c r="I203" s="318">
        <v>0.02136</v>
      </c>
      <c r="J203" s="323">
        <f>G203*I203/365</f>
        <v>59503.9791019792</v>
      </c>
    </row>
    <row r="204" spans="1:10">
      <c r="A204" s="333">
        <v>46221</v>
      </c>
      <c r="B204" s="371" t="s"/>
      <c r="C204" s="371" t="s"/>
      <c r="D204" s="371" t="s"/>
      <c r="F204" s="337">
        <f>SUM(B204:E204)</f>
        <v>0</v>
      </c>
      <c r="G204" s="343">
        <f>G203+F204</f>
        <v>1016804886.34</v>
      </c>
      <c r="H204" s="317" t="s"/>
      <c r="I204" s="318">
        <v>0.02136</v>
      </c>
      <c r="J204" s="323">
        <f>G204*I204/365</f>
        <v>59503.9791019792</v>
      </c>
    </row>
    <row r="205" spans="1:10">
      <c r="A205" s="333">
        <v>46222</v>
      </c>
      <c r="B205" s="371" t="s"/>
      <c r="C205" s="371" t="s"/>
      <c r="D205" s="371" t="s"/>
      <c r="F205" s="337">
        <f>SUM(B205:E205)</f>
        <v>0</v>
      </c>
      <c r="G205" s="343">
        <f>G204+F205</f>
        <v>1016804886.34</v>
      </c>
      <c r="H205" s="317" t="s"/>
      <c r="I205" s="318">
        <v>0.02136</v>
      </c>
      <c r="J205" s="323">
        <f>G205*I205/365</f>
        <v>59503.9791019792</v>
      </c>
    </row>
    <row r="206" spans="1:10">
      <c r="A206" s="333">
        <v>46223</v>
      </c>
      <c r="B206" s="370">
        <v>-31312898.91</v>
      </c>
      <c r="C206" s="346" t="s">
        <v>209</v>
      </c>
      <c r="D206" s="346">
        <v>-4874692.87</v>
      </c>
      <c r="F206" s="337">
        <f>SUM(B206:E206)</f>
        <v>-36187591.78</v>
      </c>
      <c r="G206" s="343">
        <f>G205+F206</f>
        <v>980617294.56</v>
      </c>
      <c r="H206" s="317" t="s"/>
      <c r="I206" s="318">
        <v>0.02136</v>
      </c>
      <c r="J206" s="323">
        <f>G206*I206/365</f>
        <v>57386.2614021962</v>
      </c>
    </row>
    <row r="207" spans="1:10">
      <c r="A207" s="333">
        <v>46224</v>
      </c>
      <c r="B207" s="370">
        <v>29949674.79</v>
      </c>
      <c r="C207" s="346">
        <v>21044222.6</v>
      </c>
      <c r="D207" s="346">
        <v>86630541.1</v>
      </c>
      <c r="F207" s="337">
        <f>SUM(B207:E207)</f>
        <v>137624438.49</v>
      </c>
      <c r="G207" s="343">
        <f>G206+F207</f>
        <v>1118241733.05</v>
      </c>
      <c r="H207" s="317" t="s"/>
      <c r="I207" s="318">
        <v>0.02136</v>
      </c>
      <c r="J207" s="323">
        <f>G207*I207/365</f>
        <v>65440.1189532822</v>
      </c>
    </row>
    <row r="208" spans="1:10">
      <c r="A208" s="333">
        <v>46225</v>
      </c>
      <c r="B208" s="370">
        <v>7804140.93</v>
      </c>
      <c r="C208" s="372" t="s">
        <v>209</v>
      </c>
      <c r="D208" s="346">
        <v>-154785227.68</v>
      </c>
      <c r="E208" s="373" t="s">
        <v>330</v>
      </c>
      <c r="F208" s="337">
        <f>SUM(B208:E208)</f>
        <v>-146981086.75</v>
      </c>
      <c r="G208" s="343">
        <f>G207+F208</f>
        <v>971260646.3</v>
      </c>
      <c r="H208" s="317" t="s"/>
      <c r="I208" s="318">
        <v>0.02136</v>
      </c>
      <c r="J208" s="323">
        <f>G208*I208/365</f>
        <v>56838.7052190904</v>
      </c>
    </row>
    <row r="209" spans="1:10">
      <c r="A209" s="333">
        <v>46226</v>
      </c>
      <c r="B209" s="370">
        <v>47137295.9</v>
      </c>
      <c r="C209" s="346">
        <v>40321753.43</v>
      </c>
      <c r="D209" s="346">
        <v>-56760631.1</v>
      </c>
      <c r="F209" s="337">
        <f>SUM(B209:E209)</f>
        <v>30698418.23</v>
      </c>
      <c r="G209" s="343">
        <f>G208+F209</f>
        <v>1001959064.53</v>
      </c>
      <c r="H209" s="317" t="s"/>
      <c r="I209" s="318">
        <v>0.021387</v>
      </c>
      <c r="J209" s="323">
        <f>G209*I209/365</f>
        <v>58709.310994803</v>
      </c>
    </row>
    <row r="210" spans="1:10">
      <c r="A210" s="333">
        <v>46227</v>
      </c>
      <c r="B210" s="345">
        <v>-22803335.37</v>
      </c>
      <c r="C210" s="346">
        <v>48355167.53</v>
      </c>
      <c r="D210" s="346">
        <v>-81373932.2</v>
      </c>
      <c r="F210" s="337">
        <f>SUM(B210:E210)</f>
        <v>-55822100.04</v>
      </c>
      <c r="G210" s="343">
        <f>G209+F210</f>
        <v>946136964.49</v>
      </c>
      <c r="H210" s="356" t="s">
        <v>314</v>
      </c>
      <c r="I210" s="318">
        <v>0.021129</v>
      </c>
      <c r="J210" s="323">
        <f>G210*I210/365</f>
        <v>54769.6655416691</v>
      </c>
    </row>
    <row r="211" spans="1:10">
      <c r="A211" s="333">
        <v>46228</v>
      </c>
      <c r="B211" s="371" t="s"/>
      <c r="C211" s="371" t="s"/>
      <c r="D211" s="371" t="s"/>
      <c r="F211" s="337">
        <f>SUM(B211:E211)</f>
        <v>0</v>
      </c>
      <c r="G211" s="343">
        <f>G210+F211</f>
        <v>946136964.49</v>
      </c>
      <c r="H211" s="317" t="s"/>
      <c r="I211" s="318">
        <v>0.021129</v>
      </c>
      <c r="J211" s="323">
        <f>G211*I211/365</f>
        <v>54769.6655416691</v>
      </c>
    </row>
    <row r="212" spans="1:10">
      <c r="A212" s="333">
        <v>46229</v>
      </c>
      <c r="B212" s="371" t="s"/>
      <c r="C212" s="371" t="s"/>
      <c r="D212" s="371" t="s"/>
      <c r="F212" s="337">
        <f>SUM(B212:E212)</f>
        <v>0</v>
      </c>
      <c r="G212" s="343">
        <f>G211+F212</f>
        <v>946136964.49</v>
      </c>
      <c r="H212" s="317" t="s"/>
      <c r="I212" s="318">
        <v>0.021129</v>
      </c>
      <c r="J212" s="323">
        <f>G212*I212/365</f>
        <v>54769.6655416691</v>
      </c>
    </row>
    <row r="213" spans="1:10">
      <c r="A213" s="333">
        <v>46230</v>
      </c>
      <c r="B213" s="371">
        <v>-19030180.98</v>
      </c>
      <c r="C213" s="371">
        <v>25160504.62</v>
      </c>
      <c r="D213" s="371">
        <v>16400784.24</v>
      </c>
      <c r="F213" s="337">
        <f>SUM(B213:E213)</f>
        <v>22531107.88</v>
      </c>
      <c r="G213" s="343">
        <f>G212+F213</f>
        <v>968668072.37</v>
      </c>
      <c r="H213" s="317" t="s"/>
      <c r="I213" s="318">
        <v>0.021129</v>
      </c>
      <c r="J213" s="323">
        <f>G213*I213/365</f>
        <v>56073.938907139</v>
      </c>
    </row>
    <row r="214" spans="1:10">
      <c r="A214" s="333">
        <v>46231</v>
      </c>
      <c r="B214" s="371">
        <v>-15832879.45</v>
      </c>
      <c r="C214" s="371">
        <v>-21097668.49</v>
      </c>
      <c r="D214" s="345">
        <v>-53654401.66</v>
      </c>
      <c r="F214" s="337">
        <f>SUM(B214:E214)</f>
        <v>-90584949.6</v>
      </c>
      <c r="G214" s="343">
        <f>G213+F214</f>
        <v>878083122.77</v>
      </c>
      <c r="H214" s="317" t="s"/>
      <c r="I214" s="318">
        <v>0.021129</v>
      </c>
      <c r="J214" s="323">
        <f>G214*I214/365</f>
        <v>50830.1871260475</v>
      </c>
    </row>
    <row r="215" spans="1:10">
      <c r="A215" s="333">
        <v>46232</v>
      </c>
      <c r="B215" s="371">
        <v>-29957.95</v>
      </c>
      <c r="C215" s="371">
        <v>10035726.03</v>
      </c>
      <c r="D215" s="371">
        <v>-34138905.49</v>
      </c>
      <c r="F215" s="337">
        <f>SUM(B215:E215)</f>
        <v>-24133137.41</v>
      </c>
      <c r="G215" s="343">
        <f>G214+F215</f>
        <v>853949985.36</v>
      </c>
      <c r="H215" s="317" t="s"/>
      <c r="I215" s="318">
        <v>0.021129</v>
      </c>
      <c r="J215" s="323">
        <f>G215*I215/365</f>
        <v>49433.1760018396</v>
      </c>
    </row>
    <row r="216" spans="1:11">
      <c r="A216" s="333">
        <v>46233</v>
      </c>
      <c r="B216" s="371">
        <v>52392634.09</v>
      </c>
      <c r="C216" s="345">
        <v>-28222578.09</v>
      </c>
      <c r="D216" s="345">
        <v>-10275162.48</v>
      </c>
      <c r="F216" s="337">
        <f>SUM(B216:E216)</f>
        <v>13894893.52</v>
      </c>
      <c r="G216" s="343">
        <f>G215+F216</f>
        <v>867844878.88</v>
      </c>
      <c r="H216" s="317" t="s"/>
      <c r="I216" s="318">
        <v>0.021129</v>
      </c>
      <c r="J216" s="323">
        <f>G216*I216/365</f>
        <v>50237.5190297411</v>
      </c>
      <c r="K216" s="86" t="s">
        <v>331</v>
      </c>
    </row>
    <row r="217" spans="1:10">
      <c r="A217" s="333">
        <v>46234</v>
      </c>
      <c r="B217" s="371">
        <v>28364985.41</v>
      </c>
      <c r="C217" s="371">
        <v>-112086.3</v>
      </c>
      <c r="D217" s="371">
        <v>-5714248.49</v>
      </c>
      <c r="F217" s="337">
        <f>SUM(B217:E217)</f>
        <v>22538650.62</v>
      </c>
      <c r="G217" s="343">
        <f>G216+F217</f>
        <v>890383529.5</v>
      </c>
      <c r="H217" s="356" t="s">
        <v>314</v>
      </c>
      <c r="I217" s="318">
        <v>0.021129</v>
      </c>
      <c r="J217" s="323">
        <f>G217*I217/365</f>
        <v>51542.2290268644</v>
      </c>
    </row>
    <row r="218" spans="1:10">
      <c r="A218" s="333">
        <v>46235</v>
      </c>
      <c r="B218" s="371" t="s"/>
      <c r="C218" s="371" t="s"/>
      <c r="D218" s="371" t="s"/>
      <c r="F218" s="337">
        <f>SUM(B218:E218)</f>
        <v>0</v>
      </c>
      <c r="G218" s="343">
        <f>G217+F218</f>
        <v>890383529.5</v>
      </c>
      <c r="H218" s="317" t="s"/>
      <c r="I218" s="318">
        <v>0.021129</v>
      </c>
      <c r="J218" s="323">
        <f>G218*I218/365</f>
        <v>51542.2290268644</v>
      </c>
    </row>
    <row r="219" spans="1:10">
      <c r="A219" s="333">
        <v>46236</v>
      </c>
      <c r="B219" s="371" t="s"/>
      <c r="C219" s="371" t="s"/>
      <c r="D219" s="371" t="s"/>
      <c r="F219" s="337">
        <f>SUM(B219:E219)</f>
        <v>0</v>
      </c>
      <c r="G219" s="343">
        <f>G218+F219</f>
        <v>890383529.5</v>
      </c>
      <c r="H219" s="317" t="s"/>
      <c r="I219" s="318">
        <v>0.021129</v>
      </c>
      <c r="J219" s="323">
        <f>G219*I219/365</f>
        <v>51542.2290268644</v>
      </c>
    </row>
    <row r="220" spans="1:10">
      <c r="A220" s="333">
        <v>46237</v>
      </c>
      <c r="B220" s="345">
        <v>-53937661.04</v>
      </c>
      <c r="C220" s="346" t="s">
        <v>306</v>
      </c>
      <c r="D220" s="346">
        <v>-59565811.73</v>
      </c>
      <c r="F220" s="337">
        <f>SUM(B220:E220)</f>
        <v>-113503472.77</v>
      </c>
      <c r="G220" s="343">
        <f>G219+F220</f>
        <v>776880056.73</v>
      </c>
      <c r="H220" s="317" t="s"/>
      <c r="I220" s="318">
        <v>0.021129</v>
      </c>
      <c r="J220" s="323">
        <f>G220*I220/365</f>
        <v>44971.7773113648</v>
      </c>
    </row>
    <row r="221" spans="1:10">
      <c r="A221" s="333">
        <v>46238</v>
      </c>
      <c r="B221" s="345" t="s">
        <v>298</v>
      </c>
      <c r="C221" s="346">
        <v>-30298445.21</v>
      </c>
      <c r="D221" s="346">
        <v>-91501575.77</v>
      </c>
      <c r="F221" s="337">
        <f>SUM(B221:E221)</f>
        <v>-121800020.98</v>
      </c>
      <c r="G221" s="343">
        <f>G220+F221</f>
        <v>655080035.75</v>
      </c>
      <c r="H221" s="317" t="s"/>
      <c r="I221" s="318">
        <v>0.021129</v>
      </c>
      <c r="J221" s="323">
        <f>G221*I221/365</f>
        <v>37921.0577407171</v>
      </c>
    </row>
    <row r="222" spans="1:10">
      <c r="A222" s="333">
        <v>46239</v>
      </c>
      <c r="B222" s="345">
        <v>-365717.53</v>
      </c>
      <c r="C222" s="346">
        <v>-10042471.23</v>
      </c>
      <c r="D222" s="346">
        <v>-75176740</v>
      </c>
      <c r="F222" s="337">
        <f>SUM(B222:E222)</f>
        <v>-85584928.76</v>
      </c>
      <c r="G222" s="343">
        <f>G221+F222</f>
        <v>569495106.99</v>
      </c>
      <c r="H222" s="317" t="s"/>
      <c r="I222" s="318">
        <v>0.021129</v>
      </c>
      <c r="J222" s="323">
        <f>G222*I222/365</f>
        <v>32966.7455221691</v>
      </c>
    </row>
    <row r="223" spans="1:10">
      <c r="A223" s="333">
        <v>46240</v>
      </c>
      <c r="B223" s="345">
        <v>132339279.25</v>
      </c>
      <c r="C223" s="346">
        <v>-20025112.32</v>
      </c>
      <c r="D223" s="346">
        <v>67925494.79</v>
      </c>
      <c r="F223" s="337">
        <f>SUM(B223:E223)</f>
        <v>180239661.72</v>
      </c>
      <c r="G223" s="343">
        <f>G222+F223</f>
        <v>749734768.71</v>
      </c>
      <c r="H223" s="317" t="s"/>
      <c r="I223" s="318">
        <v>0.021129</v>
      </c>
      <c r="J223" s="323">
        <f>G223*I223/365</f>
        <v>43400.3998029413</v>
      </c>
    </row>
    <row r="224" spans="1:11">
      <c r="A224" s="333">
        <v>46241</v>
      </c>
      <c r="B224" s="345">
        <v>130486508.91</v>
      </c>
      <c r="C224" s="346">
        <v>-6911204.11</v>
      </c>
      <c r="D224" s="346">
        <v>-64608483.57</v>
      </c>
      <c r="F224" s="337">
        <f>SUM(B224:E224)</f>
        <v>58966821.23</v>
      </c>
      <c r="G224" s="343">
        <f>G223+F224</f>
        <v>808701589.94</v>
      </c>
      <c r="H224" s="317" t="s"/>
      <c r="I224" s="318">
        <v>0.021129</v>
      </c>
      <c r="J224" s="323">
        <f>G224*I224/365</f>
        <v>46813.8517639514</v>
      </c>
      <c r="K224" s="366">
        <v>278000</v>
      </c>
    </row>
    <row r="225" spans="1:10">
      <c r="A225" s="333">
        <v>46242</v>
      </c>
      <c r="B225" s="345" t="s">
        <v>209</v>
      </c>
      <c r="C225" s="346" t="s">
        <v>209</v>
      </c>
      <c r="D225" s="346" t="s">
        <v>209</v>
      </c>
      <c r="F225" s="337">
        <f>SUM(B225:E225)</f>
        <v>0</v>
      </c>
      <c r="G225" s="343">
        <f>G224+F225</f>
        <v>808701589.94</v>
      </c>
      <c r="H225" s="317" t="s"/>
      <c r="I225" s="318">
        <v>0.021129</v>
      </c>
      <c r="J225" s="323">
        <f>G225*I225/365</f>
        <v>46813.8517639514</v>
      </c>
    </row>
    <row r="226" spans="1:10">
      <c r="A226" s="333">
        <v>46243</v>
      </c>
      <c r="B226" s="345" t="s">
        <v>209</v>
      </c>
      <c r="C226" s="346" t="s">
        <v>209</v>
      </c>
      <c r="D226" s="346" t="s">
        <v>209</v>
      </c>
      <c r="F226" s="337">
        <f>SUM(B226:E226)</f>
        <v>0</v>
      </c>
      <c r="G226" s="343">
        <f>G225+F226</f>
        <v>808701589.94</v>
      </c>
      <c r="H226" s="317" t="s"/>
      <c r="I226" s="318">
        <v>0.021129</v>
      </c>
      <c r="J226" s="323">
        <f>G226*I226/365</f>
        <v>46813.8517639514</v>
      </c>
    </row>
    <row r="227" spans="1:10">
      <c r="A227" s="333">
        <v>46244</v>
      </c>
      <c r="B227" s="345">
        <v>145213169.54</v>
      </c>
      <c r="C227" s="346">
        <v>-16107270.14</v>
      </c>
      <c r="D227" s="369">
        <v>-15957878.09</v>
      </c>
      <c r="F227" s="337">
        <f>SUM(B227:E227)</f>
        <v>113148021.31</v>
      </c>
      <c r="G227" s="343">
        <f>G226+F227</f>
        <v>921849611.25</v>
      </c>
      <c r="H227" s="317" t="s"/>
      <c r="I227" s="318">
        <v>0.021127</v>
      </c>
      <c r="J227" s="323">
        <f>G227*I227/365</f>
        <v>53358.6759914486</v>
      </c>
    </row>
    <row r="228" spans="1:10">
      <c r="A228" s="333">
        <v>46245</v>
      </c>
      <c r="B228" s="345">
        <v>42794258.51</v>
      </c>
      <c r="C228" s="346">
        <v>-10099580.82</v>
      </c>
      <c r="D228" s="346">
        <v>-35100403.68</v>
      </c>
      <c r="F228" s="337">
        <f>SUM(B228:E228)</f>
        <v>-2405725.99</v>
      </c>
      <c r="G228" s="343">
        <f>G227+F228</f>
        <v>919443885.26</v>
      </c>
      <c r="H228" s="317" t="s"/>
      <c r="I228" s="318">
        <v>0.021127</v>
      </c>
      <c r="J228" s="323">
        <f>G228*I228/365</f>
        <v>53219.4272983233</v>
      </c>
    </row>
    <row r="229" spans="1:10">
      <c r="A229" s="333">
        <v>46246</v>
      </c>
      <c r="B229" s="345">
        <v>-110739072.19</v>
      </c>
      <c r="C229" s="346">
        <v>13593.15</v>
      </c>
      <c r="D229" s="346">
        <v>-93609659.02</v>
      </c>
      <c r="F229" s="337">
        <f>SUM(B229:E229)</f>
        <v>-204335138.06</v>
      </c>
      <c r="G229" s="343">
        <f>G228+F229</f>
        <v>715108747.2</v>
      </c>
      <c r="H229" s="317" t="s"/>
      <c r="I229" s="318">
        <v>0.02118</v>
      </c>
      <c r="J229" s="323">
        <f>G229*I229/365</f>
        <v>41495.8993580712</v>
      </c>
    </row>
    <row r="230" spans="1:10">
      <c r="A230" s="333">
        <v>46247</v>
      </c>
      <c r="B230" s="345">
        <v>120927246.21</v>
      </c>
      <c r="C230" s="346" t="s">
        <v>306</v>
      </c>
      <c r="D230" s="346">
        <v>10787209.58</v>
      </c>
      <c r="F230" s="337">
        <f>SUM(B230:E230)</f>
        <v>131714455.79</v>
      </c>
      <c r="G230" s="343">
        <f>G229+F230</f>
        <v>846823202.99</v>
      </c>
      <c r="H230" s="317" t="s"/>
      <c r="I230" s="318">
        <v>0.02118</v>
      </c>
      <c r="J230" s="323">
        <f>G230*I230/365</f>
        <v>49138.9464091184</v>
      </c>
    </row>
    <row r="231" spans="1:11">
      <c r="A231" s="333">
        <v>46248</v>
      </c>
      <c r="B231" s="345">
        <v>-122151796.45</v>
      </c>
      <c r="C231" s="346">
        <v>-14594798.63</v>
      </c>
      <c r="D231" s="346">
        <v>-30053738.36</v>
      </c>
      <c r="F231" s="337">
        <f>SUM(B231:E231)</f>
        <v>-166800333.44</v>
      </c>
      <c r="G231" s="343">
        <f>G230+F231</f>
        <v>680022869.55</v>
      </c>
      <c r="H231" s="317" t="s"/>
      <c r="I231" s="318">
        <v>0.020445</v>
      </c>
      <c r="J231" s="323">
        <f>G231*I231/365</f>
        <v>38090.5960765747</v>
      </c>
      <c r="K231" s="86" t="s">
        <v>332</v>
      </c>
    </row>
    <row r="232" spans="1:10">
      <c r="A232" s="333">
        <v>46249</v>
      </c>
      <c r="B232" s="345" t="s">
        <v>209</v>
      </c>
      <c r="C232" s="346" t="s">
        <v>209</v>
      </c>
      <c r="D232" s="346" t="s">
        <v>209</v>
      </c>
      <c r="F232" s="337">
        <f>SUM(B232:E232)</f>
        <v>0</v>
      </c>
      <c r="G232" s="343">
        <f>G231+F232</f>
        <v>680022869.55</v>
      </c>
      <c r="H232" s="317" t="s"/>
      <c r="I232" s="318">
        <v>0.020445</v>
      </c>
      <c r="J232" s="323">
        <f>G232*I232/365</f>
        <v>38090.5960765747</v>
      </c>
    </row>
    <row r="233" spans="1:10">
      <c r="A233" s="333">
        <v>46250</v>
      </c>
      <c r="B233" s="345" t="s">
        <v>209</v>
      </c>
      <c r="C233" s="346" t="s">
        <v>209</v>
      </c>
      <c r="D233" s="346" t="s">
        <v>209</v>
      </c>
      <c r="F233" s="337">
        <f>SUM(B233:E233)</f>
        <v>0</v>
      </c>
      <c r="G233" s="343">
        <f>G232+F233</f>
        <v>680022869.55</v>
      </c>
      <c r="H233" s="317" t="s"/>
      <c r="I233" s="318">
        <v>0.020445</v>
      </c>
      <c r="J233" s="323">
        <f>G233*I233/365</f>
        <v>38090.5960765747</v>
      </c>
    </row>
    <row r="234" spans="1:11">
      <c r="A234" s="333">
        <v>46251</v>
      </c>
      <c r="B234" s="345">
        <v>30005375.34</v>
      </c>
      <c r="C234" s="346">
        <v>-10345204.11</v>
      </c>
      <c r="D234" s="346">
        <v>-812006.17</v>
      </c>
      <c r="F234" s="337">
        <f>SUM(B234:E234)</f>
        <v>18848165.06</v>
      </c>
      <c r="G234" s="343">
        <f>G233+F234</f>
        <v>698871034.61</v>
      </c>
      <c r="H234" s="317" t="s"/>
      <c r="I234" s="318">
        <v>0.020445</v>
      </c>
      <c r="J234" s="323">
        <f>G234*I234/365</f>
        <v>39146.3515139766</v>
      </c>
      <c r="K234" s="86" t="s">
        <v>333</v>
      </c>
    </row>
    <row r="235" spans="1:10">
      <c r="A235" s="333">
        <v>46252</v>
      </c>
      <c r="B235" s="345">
        <v>245124776.71</v>
      </c>
      <c r="C235" s="346">
        <v>-200.01</v>
      </c>
      <c r="D235" s="346">
        <v>-67983624.05</v>
      </c>
      <c r="F235" s="337">
        <f>SUM(B235:E235)</f>
        <v>177140952.65</v>
      </c>
      <c r="G235" s="343">
        <f>G234+F235</f>
        <v>876011987.26</v>
      </c>
      <c r="H235" s="317" t="s"/>
      <c r="I235" s="318">
        <v>0.020445</v>
      </c>
      <c r="J235" s="323">
        <f>G235*I235/365</f>
        <v>49068.671450769</v>
      </c>
    </row>
    <row r="236" spans="1:10">
      <c r="A236" s="333">
        <v>46253</v>
      </c>
      <c r="B236" s="345">
        <v>79406992.73</v>
      </c>
      <c r="C236" s="346">
        <v>-10494193.15</v>
      </c>
      <c r="D236" s="346">
        <v>40223673.98</v>
      </c>
      <c r="F236" s="337">
        <f>SUM(B236:E236)</f>
        <v>109136473.56</v>
      </c>
      <c r="G236" s="343">
        <f>G235+F236</f>
        <v>985148460.82</v>
      </c>
      <c r="H236" s="317" t="s"/>
      <c r="I236" s="318">
        <v>0.020446</v>
      </c>
      <c r="J236" s="323">
        <f>G236*I236/365</f>
        <v>55184.5080271937</v>
      </c>
    </row>
    <row r="237" spans="1:10">
      <c r="A237" s="333">
        <v>46254</v>
      </c>
      <c r="B237" s="345">
        <v>1432885.77</v>
      </c>
      <c r="C237" s="346">
        <v>-4181359.07</v>
      </c>
      <c r="D237" s="346">
        <v>-4127828.77</v>
      </c>
      <c r="F237" s="337">
        <f>SUM(B237:E237)</f>
        <v>-6876302.07</v>
      </c>
      <c r="G237" s="343">
        <f>G236+F237</f>
        <v>978272158.75</v>
      </c>
      <c r="H237" s="317" t="s"/>
      <c r="I237" s="318">
        <v>0.020446</v>
      </c>
      <c r="J237" s="323">
        <f>G237*I237/365</f>
        <v>54799.3220761712</v>
      </c>
    </row>
    <row r="238" spans="1:10">
      <c r="A238" s="333">
        <v>46255</v>
      </c>
      <c r="B238" s="345">
        <v>-20720372.89</v>
      </c>
      <c r="C238" s="346" t="s">
        <v>306</v>
      </c>
      <c r="D238" s="346">
        <v>2068576.71</v>
      </c>
      <c r="F238" s="337">
        <f>SUM(B238:E238)</f>
        <v>-18651796.18</v>
      </c>
      <c r="G238" s="343">
        <f>G237+F238</f>
        <v>959620362.57</v>
      </c>
      <c r="H238" s="317" t="s">
        <v>314</v>
      </c>
      <c r="I238" s="318">
        <v>0.020446</v>
      </c>
      <c r="J238" s="323">
        <f>G238*I238/365</f>
        <v>53754.5148852225</v>
      </c>
    </row>
    <row r="239" spans="1:10">
      <c r="A239" s="333">
        <v>46256</v>
      </c>
      <c r="B239" s="371" t="s"/>
      <c r="C239" s="371" t="s"/>
      <c r="D239" s="371" t="s"/>
      <c r="F239" s="337">
        <f>SUM(B239:E239)</f>
        <v>0</v>
      </c>
      <c r="G239" s="343">
        <f>G238+F239</f>
        <v>959620362.57</v>
      </c>
      <c r="H239" s="317" t="s"/>
      <c r="I239" s="318">
        <v>0.020446</v>
      </c>
      <c r="J239" s="323">
        <f>G239*I239/365</f>
        <v>53754.5148852225</v>
      </c>
    </row>
    <row r="240" spans="1:10">
      <c r="A240" s="333">
        <v>46257</v>
      </c>
      <c r="B240" s="371" t="s"/>
      <c r="C240" s="371" t="s"/>
      <c r="D240" s="371" t="s"/>
      <c r="F240" s="337">
        <f>SUM(B240:E240)</f>
        <v>0</v>
      </c>
      <c r="G240" s="343">
        <f>G239+F240</f>
        <v>959620362.57</v>
      </c>
      <c r="H240" s="317" t="s"/>
      <c r="I240" s="318">
        <v>0.020446</v>
      </c>
      <c r="J240" s="323">
        <f>G240*I240/365</f>
        <v>53754.5148852225</v>
      </c>
    </row>
    <row r="241" spans="1:11">
      <c r="A241" s="333">
        <v>46258</v>
      </c>
      <c r="B241" s="374">
        <v>226645942.47</v>
      </c>
      <c r="C241" s="374">
        <v>-249000</v>
      </c>
      <c r="D241" s="374">
        <v>61675337.26</v>
      </c>
      <c r="F241" s="337">
        <f>SUM(B241:E241)</f>
        <v>288072279.73</v>
      </c>
      <c r="G241" s="343">
        <f>G240+F241</f>
        <v>1247692642.3</v>
      </c>
      <c r="H241" s="317" t="s"/>
      <c r="I241" s="318">
        <v>0.020446</v>
      </c>
      <c r="J241" s="323">
        <f>G241*I241/365</f>
        <v>69891.2979848378</v>
      </c>
      <c r="K241" s="86" t="s">
        <v>334</v>
      </c>
    </row>
    <row r="242" spans="1:10">
      <c r="A242" s="333">
        <v>46259</v>
      </c>
      <c r="B242" s="374">
        <v>40031243.29</v>
      </c>
      <c r="C242" s="371" t="s"/>
      <c r="D242" s="345">
        <v>49071519.18</v>
      </c>
      <c r="F242" s="337">
        <f>SUM(B242:E242)</f>
        <v>89102762.47</v>
      </c>
      <c r="G242" s="343">
        <f>G241+F242</f>
        <v>1336795404.77</v>
      </c>
      <c r="H242" s="317" t="s"/>
      <c r="I242" s="318">
        <v>0.020446</v>
      </c>
      <c r="J242" s="323">
        <f>G242*I242/365</f>
        <v>74882.5173861025</v>
      </c>
    </row>
    <row r="243" spans="1:10">
      <c r="A243" s="333">
        <v>46260</v>
      </c>
      <c r="B243" s="374">
        <v>90005410.96</v>
      </c>
      <c r="C243" s="371" t="s"/>
      <c r="D243" s="374">
        <v>-19530494.52</v>
      </c>
      <c r="F243" s="337">
        <f>SUM(B243:E243)</f>
        <v>70474916.44</v>
      </c>
      <c r="G243" s="343">
        <f>G242+F243</f>
        <v>1407270321.21</v>
      </c>
      <c r="H243" s="317" t="s"/>
      <c r="I243" s="318">
        <v>0.020446</v>
      </c>
      <c r="J243" s="323">
        <f>G243*I243/365</f>
        <v>78830.2711985196</v>
      </c>
    </row>
    <row r="244" spans="1:10">
      <c r="A244" s="333">
        <v>46261</v>
      </c>
      <c r="B244" s="371">
        <v>141364124.25</v>
      </c>
      <c r="C244" s="374">
        <v>4540417.2</v>
      </c>
      <c r="D244" s="371">
        <v>-121854554.11</v>
      </c>
      <c r="F244" s="337">
        <f>SUM(B244:E244)</f>
        <v>24049987.34</v>
      </c>
      <c r="G244" s="343">
        <f>G243+F244</f>
        <v>1431320308.55</v>
      </c>
      <c r="H244" s="317" t="s"/>
      <c r="I244" s="318">
        <v>0.020446</v>
      </c>
      <c r="J244" s="323">
        <f>G244*I244/365</f>
        <v>80177.4658318173</v>
      </c>
    </row>
    <row r="245" spans="1:10">
      <c r="A245" s="333">
        <v>46262</v>
      </c>
      <c r="B245" s="371">
        <v>20128087.68</v>
      </c>
      <c r="C245" s="371">
        <v>4123963.01</v>
      </c>
      <c r="D245" s="347">
        <v>-36745212.32</v>
      </c>
      <c r="E245" s="375" t="s">
        <v>335</v>
      </c>
      <c r="F245" s="337">
        <f>SUM(B245:E245)</f>
        <v>-12493161.63</v>
      </c>
      <c r="G245" s="343">
        <f>G244+F245</f>
        <v>1418827146.92</v>
      </c>
      <c r="H245" s="317" t="s"/>
      <c r="I245" s="318">
        <v>0.020446</v>
      </c>
      <c r="J245" s="323">
        <f>G245*I245/365</f>
        <v>79477.6434134968</v>
      </c>
    </row>
    <row r="246" spans="1:10">
      <c r="A246" s="333">
        <v>46263</v>
      </c>
      <c r="B246" s="371" t="s"/>
      <c r="C246" s="371" t="s"/>
      <c r="D246" s="371" t="s"/>
      <c r="F246" s="337">
        <f>SUM(B246:E246)</f>
        <v>0</v>
      </c>
      <c r="G246" s="343">
        <f>G245+F246</f>
        <v>1418827146.92</v>
      </c>
      <c r="H246" s="317" t="s"/>
      <c r="I246" s="318">
        <v>0.020446</v>
      </c>
      <c r="J246" s="323">
        <f>G246*I246/365</f>
        <v>79477.6434134968</v>
      </c>
    </row>
    <row r="247" spans="1:10">
      <c r="A247" s="333">
        <v>46264</v>
      </c>
      <c r="B247" s="371" t="s"/>
      <c r="C247" s="371" t="s"/>
      <c r="D247" s="371" t="s"/>
      <c r="F247" s="337">
        <f>SUM(B247:E247)</f>
        <v>0</v>
      </c>
      <c r="G247" s="343">
        <f>G246+F247</f>
        <v>1418827146.92</v>
      </c>
      <c r="H247" s="317" t="s"/>
      <c r="I247" s="318">
        <v>0.020446</v>
      </c>
      <c r="J247" s="323">
        <f>G247*I247/365</f>
        <v>79477.6434134968</v>
      </c>
    </row>
    <row r="248" spans="1:10">
      <c r="A248" s="333">
        <v>46265</v>
      </c>
      <c r="B248" s="374">
        <v>30121009.32</v>
      </c>
      <c r="C248" s="371" t="s"/>
      <c r="D248" s="374">
        <v>-40199002.74</v>
      </c>
      <c r="F248" s="359">
        <f>SUM(B248:E248)</f>
        <v>-10077993.42</v>
      </c>
      <c r="G248" s="343">
        <f>G247+F248</f>
        <v>1408749153.5</v>
      </c>
      <c r="H248" s="317" t="s">
        <v>314</v>
      </c>
      <c r="I248" s="318">
        <v>0.020446</v>
      </c>
      <c r="J248" s="323">
        <f>G248*I248/365</f>
        <v>78913.1101163315</v>
      </c>
    </row>
    <row r="249" spans="1:10">
      <c r="A249" s="333">
        <v>46266</v>
      </c>
      <c r="B249" s="345">
        <v>141031793.92</v>
      </c>
      <c r="C249" s="346" t="s">
        <v>306</v>
      </c>
      <c r="D249" s="346">
        <v>-16023050</v>
      </c>
      <c r="F249" s="359">
        <f>SUM(B249:E249)</f>
        <v>125008743.92</v>
      </c>
      <c r="G249" s="343">
        <f>G248+F249</f>
        <v>1533757897.42</v>
      </c>
      <c r="H249" s="317" t="s"/>
      <c r="I249" s="318">
        <v>0.020446</v>
      </c>
      <c r="J249" s="323">
        <f>G249*I249/365</f>
        <v>85915.6547141077</v>
      </c>
    </row>
    <row r="250" spans="1:10">
      <c r="A250" s="333">
        <v>46267</v>
      </c>
      <c r="B250" s="345">
        <v>19864479.29</v>
      </c>
      <c r="C250" s="346" t="s">
        <v>306</v>
      </c>
      <c r="D250" s="346">
        <v>-69865709.59</v>
      </c>
      <c r="F250" s="359">
        <f>SUM(B250:E250)</f>
        <v>-50001230.3</v>
      </c>
      <c r="G250" s="343">
        <f>G249+F250</f>
        <v>1483756667.12</v>
      </c>
      <c r="H250" s="317" t="s"/>
      <c r="I250" s="318">
        <v>0.02043</v>
      </c>
      <c r="J250" s="323">
        <f>G250*I250/365</f>
        <v>83049.7224911277</v>
      </c>
    </row>
    <row r="251" spans="1:10">
      <c r="A251" s="333">
        <v>46268</v>
      </c>
      <c r="B251" s="345">
        <v>142625257.55</v>
      </c>
      <c r="C251" s="346" t="s">
        <v>306</v>
      </c>
      <c r="D251" s="354">
        <v>-120826816.44</v>
      </c>
      <c r="F251" s="359">
        <f>SUM(B251:E251)</f>
        <v>21798441.11</v>
      </c>
      <c r="G251" s="343">
        <f>G250+F251</f>
        <v>1505555108.23</v>
      </c>
      <c r="H251" s="317" t="s"/>
      <c r="I251" s="318">
        <v>0.02043</v>
      </c>
      <c r="J251" s="323">
        <f>G251*I251/365</f>
        <v>84269.837975723</v>
      </c>
    </row>
    <row r="252" spans="1:10">
      <c r="A252" s="333">
        <v>46269</v>
      </c>
      <c r="B252" s="345">
        <v>-3261703.59</v>
      </c>
      <c r="C252" s="346">
        <v>32009122.19</v>
      </c>
      <c r="D252" s="346">
        <v>-64220174.25</v>
      </c>
      <c r="F252" s="359">
        <f>SUM(B252:E252)</f>
        <v>-35472755.65</v>
      </c>
      <c r="G252" s="343">
        <f>G251+F252</f>
        <v>1470082352.58</v>
      </c>
      <c r="H252" s="317" t="s"/>
      <c r="I252" s="318">
        <v>0.020428</v>
      </c>
      <c r="J252" s="323">
        <f>G252*I252/365</f>
        <v>82276.2802698746</v>
      </c>
    </row>
    <row r="253" spans="1:10">
      <c r="A253" s="333">
        <v>46270</v>
      </c>
      <c r="B253" s="345" t="s">
        <v>209</v>
      </c>
      <c r="C253" s="346" t="s">
        <v>209</v>
      </c>
      <c r="D253" s="346" t="s">
        <v>209</v>
      </c>
      <c r="F253" s="359">
        <f>SUM(B253:E253)</f>
        <v>0</v>
      </c>
      <c r="G253" s="343">
        <f>G252+F253</f>
        <v>1470082352.58</v>
      </c>
      <c r="H253" s="317" t="s"/>
      <c r="I253" s="318">
        <v>0.020428</v>
      </c>
      <c r="J253" s="323">
        <f>G253*I253/365</f>
        <v>82276.2802698746</v>
      </c>
    </row>
    <row r="254" spans="1:10">
      <c r="A254" s="333">
        <v>46271</v>
      </c>
      <c r="B254" s="345" t="s">
        <v>209</v>
      </c>
      <c r="C254" s="346" t="s">
        <v>209</v>
      </c>
      <c r="D254" s="346" t="s">
        <v>209</v>
      </c>
      <c r="F254" s="359">
        <f>SUM(B254:E254)</f>
        <v>0</v>
      </c>
      <c r="G254" s="343">
        <f>G253+F254</f>
        <v>1470082352.58</v>
      </c>
      <c r="H254" s="317" t="s"/>
      <c r="I254" s="318">
        <v>0.019728</v>
      </c>
      <c r="J254" s="323">
        <f>G254*I254/365</f>
        <v>79456.944251228</v>
      </c>
    </row>
    <row r="255" spans="1:10">
      <c r="A255" s="333">
        <v>46272</v>
      </c>
      <c r="B255" s="345">
        <v>-310323843.41</v>
      </c>
      <c r="C255" s="346">
        <v>3001050</v>
      </c>
      <c r="D255" s="346">
        <v>80074734.25</v>
      </c>
      <c r="F255" s="359">
        <f>SUM(B255:E255)</f>
        <v>-227248059.16</v>
      </c>
      <c r="G255" s="343">
        <f>G254+F255</f>
        <v>1242834293.42</v>
      </c>
      <c r="H255" s="317" t="s"/>
      <c r="I255" s="318">
        <v>0.019728</v>
      </c>
      <c r="J255" s="323">
        <f>G255*I255/365</f>
        <v>67174.3423029856</v>
      </c>
    </row>
    <row r="256" spans="1:10">
      <c r="A256" s="333">
        <v>46273</v>
      </c>
      <c r="B256" s="345">
        <v>-177695822.59</v>
      </c>
      <c r="C256" s="346">
        <v>-9860789.04</v>
      </c>
      <c r="D256" s="346">
        <v>-4747037.67</v>
      </c>
      <c r="F256" s="359">
        <f>SUM(B256:E256)</f>
        <v>-192303649.3</v>
      </c>
      <c r="G256" s="343">
        <f>G255+F256</f>
        <v>1050530644.12</v>
      </c>
      <c r="H256" s="317" t="s"/>
      <c r="I256" s="318">
        <v>0.019728</v>
      </c>
      <c r="J256" s="323">
        <f>G256*I256/365</f>
        <v>56780.4617731489</v>
      </c>
    </row>
    <row r="257" spans="1:10">
      <c r="A257" s="333">
        <v>46274</v>
      </c>
      <c r="B257" s="345">
        <v>80187476.85</v>
      </c>
      <c r="C257" s="346" t="s">
        <v>306</v>
      </c>
      <c r="D257" s="346">
        <v>70754339.73</v>
      </c>
      <c r="F257" s="359">
        <f>SUM(B257:E257)</f>
        <v>150941816.58</v>
      </c>
      <c r="G257" s="343">
        <f>G256+F257</f>
        <v>1201472460.7</v>
      </c>
      <c r="H257" s="317" t="s"/>
      <c r="I257" s="318">
        <v>0.019728</v>
      </c>
      <c r="J257" s="323">
        <f>G257*I257/365</f>
        <v>64938.763574492</v>
      </c>
    </row>
    <row r="258" spans="1:10">
      <c r="A258" s="333">
        <v>46275</v>
      </c>
      <c r="B258" s="345">
        <v>56426587.05</v>
      </c>
      <c r="C258" s="346">
        <v>-400</v>
      </c>
      <c r="D258" s="346">
        <v>55262997.95</v>
      </c>
      <c r="F258" s="359">
        <f>SUM(B258:E258)</f>
        <v>111689185</v>
      </c>
      <c r="G258" s="343">
        <f>G257+F258</f>
        <v>1313161645.7</v>
      </c>
      <c r="H258" s="317" t="s"/>
      <c r="I258" s="318">
        <v>0.019728</v>
      </c>
      <c r="J258" s="323">
        <f>G258*I258/365</f>
        <v>70975.4875243003</v>
      </c>
    </row>
    <row r="259" spans="1:10">
      <c r="A259" s="333">
        <v>46276</v>
      </c>
      <c r="B259" s="345">
        <v>-71499746.24</v>
      </c>
      <c r="C259" s="346" t="s">
        <v>306</v>
      </c>
      <c r="D259" s="354">
        <v>139877029.19</v>
      </c>
      <c r="F259" s="359">
        <f>SUM(B259:E259)</f>
        <v>68377282.95</v>
      </c>
      <c r="G259" s="343">
        <f>G258+F259</f>
        <v>1381538928.65</v>
      </c>
      <c r="H259" s="317" t="s"/>
      <c r="I259" s="318">
        <v>0.019728</v>
      </c>
      <c r="J259" s="323">
        <f>G259*I259/365</f>
        <v>74671.2328339923</v>
      </c>
    </row>
    <row r="260" spans="1:10">
      <c r="A260" s="333">
        <v>46277</v>
      </c>
      <c r="B260" s="371" t="s"/>
      <c r="C260" s="371" t="s"/>
      <c r="D260" s="371" t="s"/>
      <c r="F260" s="337">
        <f>SUM(B260:E260)</f>
        <v>0</v>
      </c>
      <c r="G260" s="343">
        <f>G259+F260</f>
        <v>1381538928.65</v>
      </c>
      <c r="H260" s="317" t="s"/>
      <c r="I260" s="318">
        <v>0.019728</v>
      </c>
      <c r="J260" s="323">
        <f>G260*I260/365</f>
        <v>74671.2328339923</v>
      </c>
    </row>
    <row r="261" spans="1:10">
      <c r="A261" s="333">
        <v>46278</v>
      </c>
      <c r="B261" s="371" t="s"/>
      <c r="C261" s="371" t="s"/>
      <c r="D261" s="371" t="s"/>
      <c r="F261" s="337">
        <f>SUM(B261:E261)</f>
        <v>0</v>
      </c>
      <c r="G261" s="343">
        <f>G260+F261</f>
        <v>1381538928.65</v>
      </c>
      <c r="H261" s="317" t="s"/>
      <c r="I261" s="318">
        <v>0.019728</v>
      </c>
      <c r="J261" s="323">
        <f>G261*I261/365</f>
        <v>74671.2328339923</v>
      </c>
    </row>
    <row r="262" spans="1:10">
      <c r="A262" s="333">
        <v>46279</v>
      </c>
      <c r="B262" s="345">
        <v>41431748.77</v>
      </c>
      <c r="C262" s="346" t="s">
        <v>306</v>
      </c>
      <c r="D262" s="346">
        <v>-10491302.72</v>
      </c>
      <c r="F262" s="337">
        <f>SUM(B262:E262)</f>
        <v>30940446.05</v>
      </c>
      <c r="G262" s="343">
        <f>G261+F262</f>
        <v>1412479374.7</v>
      </c>
      <c r="H262" s="317" t="s"/>
      <c r="I262" s="318">
        <v>0.01956</v>
      </c>
      <c r="J262" s="323">
        <f>G262*I262/365</f>
        <v>75693.4152578959</v>
      </c>
    </row>
    <row r="263" spans="1:10">
      <c r="A263" s="333">
        <v>46280</v>
      </c>
      <c r="B263" s="345">
        <v>69562675.89</v>
      </c>
      <c r="C263" s="346" t="s">
        <v>306</v>
      </c>
      <c r="D263" s="354">
        <v>-111739084.23</v>
      </c>
      <c r="F263" s="337">
        <f>SUM(B263:E263)</f>
        <v>-42176408.34</v>
      </c>
      <c r="G263" s="343">
        <f>G262+F263</f>
        <v>1370302966.36</v>
      </c>
      <c r="H263" s="317" t="s"/>
      <c r="I263" s="318">
        <v>0.019421</v>
      </c>
      <c r="J263" s="323">
        <f>G263*I263/365</f>
        <v>72911.3805744591</v>
      </c>
    </row>
    <row r="264" spans="1:10">
      <c r="A264" s="333">
        <v>46281</v>
      </c>
      <c r="B264" s="345">
        <v>-20757834.11</v>
      </c>
      <c r="C264" s="346">
        <v>-4131491.78</v>
      </c>
      <c r="D264" s="346">
        <v>53059958.9</v>
      </c>
      <c r="F264" s="337">
        <f>SUM(B264:E264)</f>
        <v>28170633.01</v>
      </c>
      <c r="G264" s="343">
        <f>G263+F264</f>
        <v>1398473599.37</v>
      </c>
      <c r="H264" s="317" t="s"/>
      <c r="I264" s="318">
        <v>0.019421</v>
      </c>
      <c r="J264" s="323">
        <f>G264*I264/365</f>
        <v>74410.2897900405</v>
      </c>
    </row>
    <row r="265" spans="1:10">
      <c r="A265" s="333">
        <v>46282</v>
      </c>
      <c r="B265" s="345">
        <v>-9364546.43</v>
      </c>
      <c r="C265" s="346" t="s">
        <v>306</v>
      </c>
      <c r="D265" s="346">
        <v>-91296158.9</v>
      </c>
      <c r="F265" s="337">
        <f>SUM(B265:E265)</f>
        <v>-100660705.33</v>
      </c>
      <c r="G265" s="343">
        <f>G264+F265</f>
        <v>1297812894.04</v>
      </c>
      <c r="H265" s="317" t="s"/>
      <c r="I265" s="318">
        <v>0.019424</v>
      </c>
      <c r="J265" s="323">
        <f>G265*I265/365</f>
        <v>69064.979873515</v>
      </c>
    </row>
    <row r="266" spans="1:10">
      <c r="A266" s="333">
        <v>46283</v>
      </c>
      <c r="B266" s="345">
        <v>-32037407.66</v>
      </c>
      <c r="C266" s="346" t="s">
        <v>306</v>
      </c>
      <c r="D266" s="346">
        <v>66271952.89</v>
      </c>
      <c r="F266" s="337">
        <f>SUM(B266:E266)</f>
        <v>34234545.23</v>
      </c>
      <c r="G266" s="343">
        <f>G265+F266</f>
        <v>1332047439.27</v>
      </c>
      <c r="H266" s="317" t="s"/>
      <c r="I266" s="318">
        <v>0.019424</v>
      </c>
      <c r="J266" s="323">
        <f>G266*I266/365</f>
        <v>70886.8204393986</v>
      </c>
    </row>
    <row r="267" spans="1:10">
      <c r="A267" s="333">
        <v>46284</v>
      </c>
      <c r="B267" s="371" t="s"/>
      <c r="C267" s="371" t="s"/>
      <c r="D267" s="371" t="s"/>
      <c r="F267" s="337">
        <f>SUM(B267:E267)</f>
        <v>0</v>
      </c>
      <c r="G267" s="343">
        <f>G266+F267</f>
        <v>1332047439.27</v>
      </c>
      <c r="H267" s="317" t="s"/>
      <c r="I267" s="318">
        <v>0.019424</v>
      </c>
      <c r="J267" s="323">
        <f>G267*I267/365</f>
        <v>70886.8204393986</v>
      </c>
    </row>
    <row r="268" spans="1:10">
      <c r="A268" s="333">
        <v>46285</v>
      </c>
      <c r="B268" s="371" t="s"/>
      <c r="C268" s="371" t="s"/>
      <c r="D268" s="371" t="s"/>
      <c r="F268" s="337">
        <f>SUM(B268:E268)</f>
        <v>0</v>
      </c>
      <c r="G268" s="343">
        <f>G267+F268</f>
        <v>1332047439.27</v>
      </c>
      <c r="H268" s="317" t="s"/>
      <c r="I268" s="318">
        <v>0.019424</v>
      </c>
      <c r="J268" s="323">
        <f>G268*I268/365</f>
        <v>70886.8204393986</v>
      </c>
    </row>
    <row r="269" spans="1:10">
      <c r="A269" s="333">
        <v>46286</v>
      </c>
      <c r="B269" s="345">
        <v>298723837.13</v>
      </c>
      <c r="C269" s="346" t="s">
        <v>306</v>
      </c>
      <c r="D269" s="346">
        <v>41364256.16</v>
      </c>
      <c r="F269" s="337">
        <f>SUM(B269:E269)</f>
        <v>340088093.29</v>
      </c>
      <c r="G269" s="343">
        <f>G268+F269</f>
        <v>1672135532.56</v>
      </c>
      <c r="H269" s="317" t="s"/>
      <c r="I269" s="318">
        <v>0.019424</v>
      </c>
      <c r="J269" s="323">
        <f>G269*I269/365</f>
        <v>88985.0974916313</v>
      </c>
    </row>
    <row r="270" spans="1:11">
      <c r="A270" s="333">
        <v>46287</v>
      </c>
      <c r="B270" s="345">
        <v>151936299.65</v>
      </c>
      <c r="C270" s="346">
        <v>43238132.64</v>
      </c>
      <c r="D270" s="346">
        <v>-56978769.32</v>
      </c>
      <c r="F270" s="337">
        <f>SUM(B270:E270)</f>
        <v>138195662.97</v>
      </c>
      <c r="G270" s="343">
        <f>G269+F270</f>
        <v>1810331195.53</v>
      </c>
      <c r="H270" s="317" t="s">
        <v>336</v>
      </c>
      <c r="I270" s="318">
        <v>0.019417</v>
      </c>
      <c r="J270" s="323">
        <f>G270*I270/365</f>
        <v>96304.6597907014</v>
      </c>
      <c r="K270" s="86" t="s">
        <v>337</v>
      </c>
    </row>
    <row r="271" spans="1:10">
      <c r="A271" s="333">
        <v>46288</v>
      </c>
      <c r="B271" s="345">
        <v>35524887.67</v>
      </c>
      <c r="C271" s="346">
        <v>-10028687.67</v>
      </c>
      <c r="D271" s="346">
        <v>34391389.72</v>
      </c>
      <c r="F271" s="337">
        <f>SUM(B271:E271)</f>
        <v>59887589.72</v>
      </c>
      <c r="G271" s="343">
        <f>G270+F271</f>
        <v>1870218785.25</v>
      </c>
      <c r="H271" s="317" t="s"/>
      <c r="I271" s="318">
        <v>0.019417</v>
      </c>
      <c r="J271" s="323">
        <f>G271*I271/365</f>
        <v>99490.5154882171</v>
      </c>
    </row>
    <row r="272" spans="1:10">
      <c r="A272" s="333">
        <v>46289</v>
      </c>
      <c r="B272" s="345">
        <v>156127969.55</v>
      </c>
      <c r="C272" s="346">
        <v>-83150839.73</v>
      </c>
      <c r="D272" s="354">
        <v>-231544538.1</v>
      </c>
      <c r="F272" s="337">
        <f>SUM(B272:E272)</f>
        <v>-158567408.28</v>
      </c>
      <c r="G272" s="343">
        <f>G271+F272</f>
        <v>1711651376.97</v>
      </c>
      <c r="H272" s="317" t="s">
        <v>314</v>
      </c>
      <c r="I272" s="318">
        <v>0.019417</v>
      </c>
      <c r="J272" s="323">
        <f>G272*I272/365</f>
        <v>91055.1637989767</v>
      </c>
    </row>
    <row r="273" spans="1:10">
      <c r="A273" s="333">
        <v>46290</v>
      </c>
      <c r="B273" s="371" t="s"/>
      <c r="C273" s="371" t="s"/>
      <c r="D273" s="371" t="s"/>
      <c r="F273" s="337">
        <f>SUM(B273:E273)</f>
        <v>0</v>
      </c>
      <c r="G273" s="343">
        <f>G272+F273</f>
        <v>1711651376.97</v>
      </c>
      <c r="H273" s="317" t="s"/>
      <c r="I273" s="318">
        <v>0.019417</v>
      </c>
      <c r="J273" s="323">
        <f>G273*I273/365</f>
        <v>91055.1637989767</v>
      </c>
    </row>
    <row r="274" spans="1:10">
      <c r="A274" s="333">
        <v>46291</v>
      </c>
      <c r="B274" s="371" t="s"/>
      <c r="C274" s="371" t="s"/>
      <c r="D274" s="371" t="s"/>
      <c r="F274" s="337">
        <f>SUM(B274:E274)</f>
        <v>0</v>
      </c>
      <c r="G274" s="343">
        <f>G273+F274</f>
        <v>1711651376.97</v>
      </c>
      <c r="H274" s="317" t="s"/>
      <c r="I274" s="318">
        <v>0.019417</v>
      </c>
      <c r="J274" s="323">
        <f>G274*I274/365</f>
        <v>91055.1637989767</v>
      </c>
    </row>
    <row r="275" spans="1:11">
      <c r="A275" s="333">
        <v>46292</v>
      </c>
      <c r="B275" s="371" t="s"/>
      <c r="C275" s="371" t="s"/>
      <c r="D275" s="371" t="s"/>
      <c r="F275" s="337">
        <f>SUM(B275:E275)</f>
        <v>0</v>
      </c>
      <c r="G275" s="343">
        <f>G274+F275</f>
        <v>1711651376.97</v>
      </c>
      <c r="H275" s="317" t="s"/>
      <c r="I275" s="318">
        <v>0.019417</v>
      </c>
      <c r="J275" s="323">
        <f>G275*I275/365</f>
        <v>91055.1637989767</v>
      </c>
      <c r="K275" s="366" t="s"/>
    </row>
    <row r="276" spans="1:10">
      <c r="A276" s="333">
        <v>46293</v>
      </c>
      <c r="B276" s="345">
        <v>94849439.63</v>
      </c>
      <c r="C276" s="346">
        <v>19885550.68</v>
      </c>
      <c r="D276" s="346">
        <v>92420293.15</v>
      </c>
      <c r="F276" s="337">
        <f>SUM(B276:E276)</f>
        <v>207155283.46</v>
      </c>
      <c r="G276" s="343">
        <f>G275+F276</f>
        <v>1918806660.43</v>
      </c>
      <c r="H276" s="317" t="s"/>
      <c r="I276" s="318">
        <v>0.019184</v>
      </c>
      <c r="J276" s="323">
        <f>G276*I276/365</f>
        <v>100850.375270381</v>
      </c>
    </row>
    <row r="277" spans="1:11">
      <c r="A277" s="333">
        <v>46294</v>
      </c>
      <c r="B277" s="334">
        <v>149890972.06</v>
      </c>
      <c r="C277" s="376">
        <v>-160161365.77</v>
      </c>
      <c r="D277" s="335">
        <v>-85129451.1</v>
      </c>
      <c r="F277" s="337">
        <f>SUM(B277:E277)</f>
        <v>-95399844.81</v>
      </c>
      <c r="G277" s="343">
        <f>G276+F277</f>
        <v>1823406815.62</v>
      </c>
      <c r="H277" s="317" t="s"/>
      <c r="I277" s="318">
        <v>0.018988</v>
      </c>
      <c r="J277" s="323">
        <f>G277*I277/365</f>
        <v>94857.1194931303</v>
      </c>
      <c r="K277" s="86" t="s">
        <v>338</v>
      </c>
    </row>
    <row r="278" spans="1:10">
      <c r="A278" s="333">
        <v>46295</v>
      </c>
      <c r="B278" s="334">
        <v>-60014128.77</v>
      </c>
      <c r="C278" s="335">
        <v>20048724.66</v>
      </c>
      <c r="D278" s="335" t="s">
        <v>298</v>
      </c>
      <c r="F278" s="337">
        <f>SUM(B278:E278)</f>
        <v>-39965404.11</v>
      </c>
      <c r="G278" s="343">
        <f>G277+F278</f>
        <v>1783441411.51</v>
      </c>
      <c r="H278" s="317" t="s">
        <v>314</v>
      </c>
      <c r="I278" s="318">
        <v>0.018975</v>
      </c>
      <c r="J278" s="323">
        <f>G278*I278/365</f>
        <v>92714.5226942527</v>
      </c>
    </row>
    <row r="279" spans="1:10">
      <c r="A279" s="333">
        <v>46296</v>
      </c>
      <c r="F279" s="337">
        <f>SUM(B279:E279)</f>
        <v>0</v>
      </c>
      <c r="G279" s="343">
        <f>G278+F279</f>
        <v>1783441411.51</v>
      </c>
      <c r="H279" s="317" t="s"/>
      <c r="I279" s="318">
        <v>0.018975</v>
      </c>
      <c r="J279" s="323">
        <f>G279*I279/365</f>
        <v>92714.5226942527</v>
      </c>
    </row>
    <row r="280" spans="1:10">
      <c r="A280" s="333">
        <v>46297</v>
      </c>
      <c r="F280" s="337">
        <f>SUM(B280:E280)</f>
        <v>0</v>
      </c>
      <c r="G280" s="343">
        <f>G279+F280</f>
        <v>1783441411.51</v>
      </c>
      <c r="H280" s="317" t="s"/>
      <c r="I280" s="318">
        <v>0.018975</v>
      </c>
      <c r="J280" s="323">
        <f>G280*I280/365</f>
        <v>92714.5226942527</v>
      </c>
    </row>
    <row r="281" spans="1:10">
      <c r="A281" s="333">
        <v>46298</v>
      </c>
      <c r="F281" s="337">
        <f>SUM(B281:E281)</f>
        <v>0</v>
      </c>
      <c r="G281" s="343">
        <f>G280+F281</f>
        <v>1783441411.51</v>
      </c>
      <c r="H281" s="317" t="s"/>
      <c r="I281" s="318">
        <v>0.018975</v>
      </c>
      <c r="J281" s="323">
        <f>G281*I281/365</f>
        <v>92714.5226942527</v>
      </c>
    </row>
    <row r="282" spans="1:10">
      <c r="A282" s="333">
        <v>46299</v>
      </c>
      <c r="F282" s="337">
        <f>SUM(B282:E282)</f>
        <v>0</v>
      </c>
      <c r="G282" s="343">
        <f>G281+F282</f>
        <v>1783441411.51</v>
      </c>
      <c r="H282" s="317" t="s"/>
      <c r="I282" s="318">
        <v>0.018975</v>
      </c>
      <c r="J282" s="323">
        <f>G282*I282/365</f>
        <v>92714.5226942527</v>
      </c>
    </row>
    <row r="283" spans="1:10">
      <c r="A283" s="333">
        <v>46300</v>
      </c>
      <c r="F283" s="337">
        <f>SUM(B283:E283)</f>
        <v>0</v>
      </c>
      <c r="G283" s="343">
        <f>G282+F283</f>
        <v>1783441411.51</v>
      </c>
      <c r="H283" s="317" t="s"/>
      <c r="I283" s="318">
        <v>0.018975</v>
      </c>
      <c r="J283" s="323">
        <f>G283*I283/365</f>
        <v>92714.5226942527</v>
      </c>
    </row>
    <row r="284" spans="1:10">
      <c r="A284" s="333">
        <v>46301</v>
      </c>
      <c r="F284" s="337">
        <f>SUM(B284:E284)</f>
        <v>0</v>
      </c>
      <c r="G284" s="343">
        <f>G283+F284</f>
        <v>1783441411.51</v>
      </c>
      <c r="H284" s="317" t="s"/>
      <c r="I284" s="318">
        <v>0.018975</v>
      </c>
      <c r="J284" s="323">
        <f>G284*I284/365</f>
        <v>92714.5226942527</v>
      </c>
    </row>
    <row r="285" spans="1:10">
      <c r="A285" s="333">
        <v>46302</v>
      </c>
      <c r="F285" s="337">
        <f>SUM(B285:E285)</f>
        <v>0</v>
      </c>
      <c r="G285" s="343">
        <f>G284+F285</f>
        <v>1783441411.51</v>
      </c>
      <c r="H285" s="317" t="s"/>
      <c r="I285" s="318">
        <v>0.018975</v>
      </c>
      <c r="J285" s="323">
        <f>G285*I285/365</f>
        <v>92714.5226942527</v>
      </c>
    </row>
    <row r="286" spans="1:10">
      <c r="A286" s="333">
        <v>46303</v>
      </c>
      <c r="B286" s="334">
        <v>272222.22</v>
      </c>
      <c r="C286" s="334" t="s"/>
      <c r="D286" s="377">
        <v>-25669271.92</v>
      </c>
      <c r="E286" s="378" t="s"/>
      <c r="F286" s="337">
        <f>SUM(B286:E286)</f>
        <v>-25397049.7</v>
      </c>
      <c r="G286" s="343">
        <f>G285+F286</f>
        <v>1758044361.81</v>
      </c>
      <c r="H286" s="317" t="s"/>
      <c r="I286" s="318" t="s"/>
      <c r="J286" s="323">
        <f>G286*I286/365</f>
        <v>0</v>
      </c>
    </row>
    <row r="287" spans="1:10">
      <c r="A287" s="333">
        <v>46304</v>
      </c>
      <c r="B287" s="334">
        <v>133024407</v>
      </c>
      <c r="C287" s="377">
        <v>10008547.95</v>
      </c>
      <c r="D287" s="334">
        <v>-141718949.31</v>
      </c>
      <c r="E287" s="378" t="s"/>
      <c r="F287" s="337">
        <f>SUM(B287:E287)</f>
        <v>1314005.63999999</v>
      </c>
      <c r="G287" s="343">
        <f>G286+F287</f>
        <v>1759358367.45</v>
      </c>
      <c r="H287" s="317" t="s"/>
      <c r="I287" s="318" t="s"/>
      <c r="J287" s="323">
        <f>G287*I287/365</f>
        <v>0</v>
      </c>
    </row>
    <row r="288" spans="1:10">
      <c r="A288" s="333">
        <v>46305</v>
      </c>
      <c r="B288" s="334" t="s"/>
      <c r="D288" s="334" t="s"/>
      <c r="E288" s="378" t="s"/>
      <c r="F288" s="337">
        <f>SUM(B288:E288)</f>
        <v>0</v>
      </c>
      <c r="G288" s="343">
        <f>G287+F288</f>
        <v>1759358367.45</v>
      </c>
      <c r="H288" s="317" t="s"/>
      <c r="I288" s="318" t="s"/>
      <c r="J288" s="323">
        <f>G288*I288/365</f>
        <v>0</v>
      </c>
    </row>
    <row r="289" spans="1:10">
      <c r="A289" s="333">
        <v>46306</v>
      </c>
      <c r="B289" s="334" t="s"/>
      <c r="C289" s="334" t="s"/>
      <c r="D289" s="334" t="s"/>
      <c r="E289" s="378" t="s"/>
      <c r="F289" s="337">
        <f>SUM(B289:E289)</f>
        <v>0</v>
      </c>
      <c r="G289" s="343">
        <f>G288+F289</f>
        <v>1759358367.45</v>
      </c>
      <c r="H289" s="317" t="s"/>
      <c r="I289" s="318" t="s"/>
      <c r="J289" s="323">
        <f>G289*I289/365</f>
        <v>0</v>
      </c>
    </row>
    <row r="290" spans="1:10">
      <c r="A290" s="333">
        <v>46307</v>
      </c>
      <c r="B290" s="334">
        <v>112403719.59</v>
      </c>
      <c r="C290" s="334">
        <v>-10277619.18</v>
      </c>
      <c r="D290" s="334">
        <v>354332901.52</v>
      </c>
      <c r="E290" s="378" t="s"/>
      <c r="F290" s="337">
        <f>SUM(B290:E290)</f>
        <v>456459001.93</v>
      </c>
      <c r="G290" s="343">
        <f>G289+F290</f>
        <v>2215817369.38</v>
      </c>
      <c r="H290" s="317" t="s"/>
      <c r="I290" s="318" t="s"/>
      <c r="J290" s="323">
        <f>G290*I290/365</f>
        <v>0</v>
      </c>
    </row>
    <row r="291" spans="1:10">
      <c r="A291" s="333">
        <v>46308</v>
      </c>
      <c r="C291" s="379">
        <v>20030375.34</v>
      </c>
      <c r="F291" s="337">
        <f>SUM(B291:E291)</f>
        <v>20030375.34</v>
      </c>
      <c r="G291" s="343">
        <f>G290+F291</f>
        <v>2235847744.72</v>
      </c>
      <c r="H291" s="317" t="s"/>
      <c r="I291" s="318" t="s"/>
      <c r="J291" s="323">
        <f>G291*I291/365</f>
        <v>0</v>
      </c>
    </row>
    <row r="292" spans="1:10">
      <c r="A292" s="333">
        <v>46309</v>
      </c>
      <c r="F292" s="337">
        <f>SUM(B292:E292)</f>
        <v>0</v>
      </c>
      <c r="G292" s="343">
        <f>G291+F292</f>
        <v>2235847744.72</v>
      </c>
      <c r="H292" s="317" t="s"/>
      <c r="I292" s="318" t="s"/>
      <c r="J292" s="323">
        <f>G292*I292/365</f>
        <v>0</v>
      </c>
    </row>
    <row r="293" spans="1:10">
      <c r="A293" s="333">
        <v>46310</v>
      </c>
      <c r="F293" s="337">
        <f>SUM(B293:E293)</f>
        <v>0</v>
      </c>
      <c r="G293" s="343">
        <f>G292+F293</f>
        <v>2235847744.72</v>
      </c>
      <c r="H293" s="317" t="s"/>
      <c r="I293" s="318" t="s"/>
      <c r="J293" s="323">
        <f>G293*I293/365</f>
        <v>0</v>
      </c>
    </row>
    <row r="294" spans="1:10">
      <c r="A294" s="333">
        <v>46311</v>
      </c>
      <c r="F294" s="337">
        <f>SUM(B294:E294)</f>
        <v>0</v>
      </c>
      <c r="G294" s="343">
        <f>G293+F294</f>
        <v>2235847744.72</v>
      </c>
      <c r="H294" s="317" t="s"/>
      <c r="I294" s="318" t="s"/>
      <c r="J294" s="323">
        <f>G294*I294/365</f>
        <v>0</v>
      </c>
    </row>
    <row r="295" spans="1:10">
      <c r="A295" s="333">
        <v>46312</v>
      </c>
      <c r="F295" s="337">
        <f>SUM(B295:E295)</f>
        <v>0</v>
      </c>
      <c r="G295" s="343">
        <f>G294+F295</f>
        <v>2235847744.72</v>
      </c>
      <c r="H295" s="317" t="s"/>
      <c r="I295" s="318" t="s"/>
      <c r="J295" s="323">
        <f>G295*I295/365</f>
        <v>0</v>
      </c>
    </row>
    <row r="296" spans="1:10">
      <c r="A296" s="333">
        <v>46313</v>
      </c>
      <c r="F296" s="337">
        <f>SUM(B296:E296)</f>
        <v>0</v>
      </c>
      <c r="G296" s="343">
        <f>G295+F296</f>
        <v>2235847744.72</v>
      </c>
      <c r="H296" s="317" t="s"/>
      <c r="I296" s="318" t="s"/>
      <c r="J296" s="323">
        <f>G296*I296/365</f>
        <v>0</v>
      </c>
    </row>
    <row r="297" spans="1:10">
      <c r="A297" s="333">
        <v>46314</v>
      </c>
      <c r="F297" s="337">
        <f>SUM(B297:E297)</f>
        <v>0</v>
      </c>
      <c r="G297" s="343">
        <f>G296+F297</f>
        <v>2235847744.72</v>
      </c>
      <c r="H297" s="317" t="s"/>
      <c r="I297" s="318" t="s"/>
      <c r="J297" s="323">
        <f>G297*I297/365</f>
        <v>0</v>
      </c>
    </row>
    <row r="298" spans="1:10">
      <c r="A298" s="333">
        <v>46315</v>
      </c>
      <c r="F298" s="337">
        <f>SUM(B298:E298)</f>
        <v>0</v>
      </c>
      <c r="G298" s="343">
        <f>G297+F298</f>
        <v>2235847744.72</v>
      </c>
      <c r="H298" s="317" t="s"/>
      <c r="I298" s="318" t="s"/>
      <c r="J298" s="323">
        <f>G298*I298/365</f>
        <v>0</v>
      </c>
    </row>
    <row r="299" spans="1:10">
      <c r="A299" s="333">
        <v>46316</v>
      </c>
      <c r="F299" s="337">
        <f>SUM(B299:E299)</f>
        <v>0</v>
      </c>
      <c r="G299" s="343">
        <f>G298+F299</f>
        <v>2235847744.72</v>
      </c>
      <c r="H299" s="317" t="s"/>
      <c r="I299" s="318" t="s"/>
      <c r="J299" s="323">
        <f>G299*I299/365</f>
        <v>0</v>
      </c>
    </row>
    <row r="300" spans="1:10">
      <c r="A300" s="333">
        <v>46317</v>
      </c>
      <c r="F300" s="337">
        <f>SUM(B300:E300)</f>
        <v>0</v>
      </c>
      <c r="G300" s="343">
        <f>G299+F300</f>
        <v>2235847744.72</v>
      </c>
      <c r="H300" s="317" t="s"/>
      <c r="I300" s="318" t="s"/>
      <c r="J300" s="323">
        <f>G300*I300/365</f>
        <v>0</v>
      </c>
    </row>
    <row r="301" spans="1:10">
      <c r="A301" s="333">
        <v>46318</v>
      </c>
      <c r="F301" s="337">
        <f>SUM(B301:E301)</f>
        <v>0</v>
      </c>
      <c r="G301" s="343">
        <f>G300+F301</f>
        <v>2235847744.72</v>
      </c>
      <c r="H301" s="317" t="s"/>
      <c r="I301" s="318" t="s"/>
      <c r="J301" s="323">
        <f>G301*I301/365</f>
        <v>0</v>
      </c>
    </row>
    <row r="302" spans="1:10">
      <c r="A302" s="333">
        <v>46319</v>
      </c>
      <c r="F302" s="337">
        <f>SUM(B302:E302)</f>
        <v>0</v>
      </c>
      <c r="G302" s="343">
        <f>G301+F302</f>
        <v>2235847744.72</v>
      </c>
      <c r="H302" s="317" t="s"/>
      <c r="I302" s="318" t="s"/>
      <c r="J302" s="323">
        <f>G302*I302/365</f>
        <v>0</v>
      </c>
    </row>
    <row r="303" spans="1:10">
      <c r="A303" s="333">
        <v>46320</v>
      </c>
      <c r="F303" s="337">
        <f>SUM(B303:E303)</f>
        <v>0</v>
      </c>
      <c r="G303" s="343">
        <f>G302+F303</f>
        <v>2235847744.72</v>
      </c>
      <c r="H303" s="317" t="s"/>
      <c r="I303" s="318" t="s"/>
      <c r="J303" s="323">
        <f>G303*I303/365</f>
        <v>0</v>
      </c>
    </row>
    <row r="304" spans="1:10">
      <c r="A304" s="333">
        <v>46321</v>
      </c>
      <c r="F304" s="337">
        <f>SUM(B304:E304)</f>
        <v>0</v>
      </c>
      <c r="G304" s="343">
        <f>G303+F304</f>
        <v>2235847744.72</v>
      </c>
      <c r="H304" s="317" t="s"/>
      <c r="I304" s="318" t="s"/>
      <c r="J304" s="323">
        <f>G304*I304/365</f>
        <v>0</v>
      </c>
    </row>
    <row r="305" spans="1:10">
      <c r="A305" s="333">
        <v>46322</v>
      </c>
      <c r="F305" s="337">
        <f>SUM(B305:E305)</f>
        <v>0</v>
      </c>
      <c r="G305" s="343">
        <f>G304+F305</f>
        <v>2235847744.72</v>
      </c>
      <c r="H305" s="317" t="s"/>
      <c r="I305" s="318" t="s"/>
      <c r="J305" s="323">
        <f>G305*I305/365</f>
        <v>0</v>
      </c>
    </row>
    <row r="306" spans="1:10">
      <c r="A306" s="333">
        <v>46323</v>
      </c>
      <c r="F306" s="337">
        <f>SUM(B306:E306)</f>
        <v>0</v>
      </c>
      <c r="G306" s="343">
        <f>G305+F306</f>
        <v>2235847744.72</v>
      </c>
      <c r="H306" s="317" t="s"/>
      <c r="I306" s="318" t="s"/>
      <c r="J306" s="323">
        <f>G306*I306/365</f>
        <v>0</v>
      </c>
    </row>
    <row r="307" spans="1:10">
      <c r="A307" s="333">
        <v>46324</v>
      </c>
      <c r="F307" s="337">
        <f>SUM(B307:E307)</f>
        <v>0</v>
      </c>
      <c r="G307" s="343">
        <f>G306+F307</f>
        <v>2235847744.72</v>
      </c>
      <c r="H307" s="317" t="s"/>
      <c r="I307" s="318" t="s"/>
      <c r="J307" s="323">
        <f>G307*I307/365</f>
        <v>0</v>
      </c>
    </row>
    <row r="308" spans="1:10">
      <c r="A308" s="333">
        <v>46325</v>
      </c>
      <c r="F308" s="337">
        <f>SUM(B308:E308)</f>
        <v>0</v>
      </c>
      <c r="G308" s="343">
        <f>G307+F308</f>
        <v>2235847744.72</v>
      </c>
      <c r="H308" s="317" t="s"/>
      <c r="I308" s="318" t="s"/>
      <c r="J308" s="323">
        <f>G308*I308/365</f>
        <v>0</v>
      </c>
    </row>
    <row r="309" spans="1:10">
      <c r="A309" s="333">
        <v>46326</v>
      </c>
      <c r="F309" s="337">
        <f>SUM(B309:E309)</f>
        <v>0</v>
      </c>
      <c r="G309" s="343">
        <f>G308+F309</f>
        <v>2235847744.72</v>
      </c>
      <c r="H309" s="317" t="s"/>
      <c r="I309" s="318" t="s"/>
      <c r="J309" s="323">
        <f>G309*I309/365</f>
        <v>0</v>
      </c>
    </row>
    <row r="310" spans="1:10">
      <c r="A310" s="333">
        <v>46327</v>
      </c>
      <c r="F310" s="337">
        <f>SUM(B310:E310)</f>
        <v>0</v>
      </c>
      <c r="G310" s="343">
        <f>G309+F310</f>
        <v>2235847744.72</v>
      </c>
      <c r="H310" s="317" t="s"/>
      <c r="I310" s="318" t="s"/>
      <c r="J310" s="323">
        <f>G310*I310/365</f>
        <v>0</v>
      </c>
    </row>
    <row r="311" spans="1:10">
      <c r="A311" s="333">
        <v>46328</v>
      </c>
      <c r="F311" s="337">
        <f>SUM(B311:E311)</f>
        <v>0</v>
      </c>
      <c r="G311" s="343">
        <f>G310+F311</f>
        <v>2235847744.72</v>
      </c>
      <c r="H311" s="317" t="s"/>
      <c r="I311" s="318" t="s"/>
      <c r="J311" s="323">
        <f>G311*I311/365</f>
        <v>0</v>
      </c>
    </row>
    <row r="312" spans="1:10">
      <c r="A312" s="333">
        <v>46329</v>
      </c>
      <c r="F312" s="337">
        <f>SUM(B312:E312)</f>
        <v>0</v>
      </c>
      <c r="G312" s="343">
        <f>G311+F312</f>
        <v>2235847744.72</v>
      </c>
      <c r="H312" s="317" t="s"/>
      <c r="I312" s="318" t="s"/>
      <c r="J312" s="323">
        <f>G312*I312/365</f>
        <v>0</v>
      </c>
    </row>
    <row r="313" spans="1:10">
      <c r="A313" s="333">
        <v>46330</v>
      </c>
      <c r="F313" s="337">
        <f>SUM(B313:E313)</f>
        <v>0</v>
      </c>
      <c r="G313" s="343">
        <f>G312+F313</f>
        <v>2235847744.72</v>
      </c>
      <c r="H313" s="317" t="s"/>
      <c r="I313" s="318" t="s"/>
      <c r="J313" s="323">
        <f>G313*I313/365</f>
        <v>0</v>
      </c>
    </row>
    <row r="314" spans="1:10">
      <c r="A314" s="333">
        <v>46331</v>
      </c>
      <c r="F314" s="337">
        <f>SUM(B314:E314)</f>
        <v>0</v>
      </c>
      <c r="G314" s="343">
        <f>G313+F314</f>
        <v>2235847744.72</v>
      </c>
      <c r="H314" s="317" t="s"/>
      <c r="I314" s="318" t="s"/>
      <c r="J314" s="323">
        <f>G314*I314/365</f>
        <v>0</v>
      </c>
    </row>
    <row r="315" spans="1:10">
      <c r="A315" s="333">
        <v>46332</v>
      </c>
      <c r="F315" s="337">
        <f>SUM(B315:E315)</f>
        <v>0</v>
      </c>
      <c r="G315" s="343">
        <f>G314+F315</f>
        <v>2235847744.72</v>
      </c>
      <c r="H315" s="317" t="s"/>
      <c r="I315" s="318" t="s"/>
      <c r="J315" s="323">
        <f>G315*I315/365</f>
        <v>0</v>
      </c>
    </row>
    <row r="316" spans="8:9">
      <c r="H316" s="317" t="s"/>
      <c r="I316" s="318" t="s"/>
    </row>
    <row r="317" spans="8:9">
      <c r="H317" s="317" t="s"/>
      <c r="I317" s="318" t="s"/>
    </row>
    <row r="318" spans="8:9">
      <c r="H318" s="317" t="s"/>
      <c r="I318" s="318" t="s"/>
    </row>
    <row r="319" spans="8:9">
      <c r="H319" s="317" t="s"/>
      <c r="I319" s="318" t="s"/>
    </row>
    <row r="320" spans="8:9">
      <c r="H320" s="317" t="s"/>
      <c r="I320" s="318" t="s"/>
    </row>
    <row r="321" spans="8:9">
      <c r="H321" s="317" t="s"/>
      <c r="I321" s="318" t="s"/>
    </row>
    <row r="322" spans="8:9">
      <c r="H322" s="317" t="s"/>
      <c r="I322" s="318" t="s"/>
    </row>
    <row r="323" spans="8:9">
      <c r="H323" s="317" t="s"/>
      <c r="I323" s="318" t="s"/>
    </row>
    <row r="324" spans="8:9">
      <c r="H324" s="317" t="s"/>
      <c r="I324" s="318" t="s"/>
    </row>
    <row r="325" spans="8:9">
      <c r="H325" s="317" t="s"/>
      <c r="I325" s="318" t="s"/>
    </row>
    <row r="326" spans="8:9">
      <c r="H326" s="317" t="s"/>
      <c r="I326" s="318" t="s"/>
    </row>
    <row r="327" spans="8:9">
      <c r="H327" s="317" t="s"/>
      <c r="I327" s="318" t="s"/>
    </row>
    <row r="328" spans="8:9">
      <c r="H328" s="317" t="s"/>
      <c r="I328" s="318" t="s"/>
    </row>
    <row r="329" spans="8:9">
      <c r="H329" s="317" t="s"/>
      <c r="I329" s="318" t="s"/>
    </row>
    <row r="330" spans="8:9">
      <c r="H330" s="317" t="s"/>
      <c r="I330" s="318" t="s"/>
    </row>
    <row r="331" spans="8:9">
      <c r="H331" s="317" t="s"/>
      <c r="I331" s="318" t="s"/>
    </row>
    <row r="332" spans="8:9">
      <c r="H332" s="317" t="s"/>
      <c r="I332" s="318" t="s"/>
    </row>
    <row r="333" spans="8:9">
      <c r="H333" s="317" t="s"/>
      <c r="I333" s="318" t="s"/>
    </row>
    <row r="334" spans="8:9">
      <c r="H334" s="317" t="s"/>
      <c r="I334" s="318" t="s"/>
    </row>
    <row r="335" spans="8:9">
      <c r="H335" s="317" t="s"/>
      <c r="I335" s="318" t="s"/>
    </row>
    <row r="336" spans="8:9">
      <c r="H336" s="317" t="s"/>
      <c r="I336" s="318" t="s"/>
    </row>
    <row r="337" spans="8:9">
      <c r="H337" s="317" t="s"/>
      <c r="I337" s="318" t="s"/>
    </row>
    <row r="338" spans="8:9">
      <c r="H338" s="317" t="s"/>
      <c r="I338" s="318" t="s"/>
    </row>
    <row r="339" spans="8:9">
      <c r="H339" s="317" t="s"/>
      <c r="I339" s="318" t="s"/>
    </row>
    <row r="340" spans="8:9">
      <c r="H340" s="317" t="s"/>
      <c r="I340" s="318" t="s"/>
    </row>
    <row r="341" spans="8:9">
      <c r="H341" s="317" t="s"/>
      <c r="I341" s="318" t="s"/>
    </row>
    <row r="342" spans="8:9">
      <c r="H342" s="317" t="s"/>
      <c r="I342" s="318" t="s"/>
    </row>
    <row r="343" spans="8:9">
      <c r="H343" s="317" t="s"/>
      <c r="I343" s="318" t="s"/>
    </row>
    <row r="344" spans="8:9">
      <c r="H344" s="317" t="s"/>
      <c r="I344" s="318" t="s"/>
    </row>
    <row r="345" spans="8:9">
      <c r="H345" s="317" t="s"/>
      <c r="I345" s="318" t="s"/>
    </row>
    <row r="346" spans="8:9">
      <c r="H346" s="317" t="s"/>
      <c r="I346" s="318" t="s"/>
    </row>
    <row r="347" spans="8:9">
      <c r="H347" s="317" t="s"/>
      <c r="I347" s="318" t="s"/>
    </row>
    <row r="348" spans="8:9">
      <c r="H348" s="317" t="s"/>
      <c r="I348" s="318" t="s"/>
    </row>
    <row r="349" spans="8:9">
      <c r="H349" s="317" t="s"/>
      <c r="I349" s="318" t="s"/>
    </row>
    <row r="350" spans="8:9">
      <c r="H350" s="317" t="s"/>
      <c r="I350" s="318" t="s"/>
    </row>
    <row r="351" spans="8:9">
      <c r="H351" s="317" t="s"/>
      <c r="I351" s="318" t="s"/>
    </row>
    <row r="352" spans="8:9">
      <c r="H352" s="317" t="s"/>
      <c r="I352" s="318" t="s"/>
    </row>
    <row r="353" spans="8:9">
      <c r="H353" s="317" t="s"/>
      <c r="I353" s="318" t="s"/>
    </row>
    <row r="354" spans="8:9">
      <c r="H354" s="317" t="s"/>
      <c r="I354" s="318" t="s"/>
    </row>
    <row r="355" spans="8:9">
      <c r="H355" s="317" t="s"/>
      <c r="I355" s="318" t="s"/>
    </row>
    <row r="356" spans="8:9">
      <c r="H356" s="317" t="s"/>
      <c r="I356" s="318" t="s"/>
    </row>
    <row r="357" spans="8:9">
      <c r="H357" s="317" t="s"/>
      <c r="I357" s="318" t="s"/>
    </row>
    <row r="358" spans="8:9">
      <c r="H358" s="317" t="s"/>
      <c r="I358" s="318" t="s"/>
    </row>
    <row r="359" spans="8:9">
      <c r="H359" s="317" t="s"/>
      <c r="I359" s="318" t="s"/>
    </row>
    <row r="360" spans="8:9">
      <c r="H360" s="317" t="s"/>
      <c r="I360" s="318" t="s"/>
    </row>
    <row r="361" spans="8:9">
      <c r="H361" s="317" t="s"/>
      <c r="I361" s="318" t="s"/>
    </row>
    <row r="362" spans="8:9">
      <c r="H362" s="317" t="s"/>
      <c r="I362" s="318" t="s"/>
    </row>
    <row r="363" spans="8:9">
      <c r="H363" s="317" t="s"/>
      <c r="I363" s="318" t="s"/>
    </row>
    <row r="364" spans="8:9">
      <c r="H364" s="317" t="s"/>
      <c r="I364" s="318" t="s"/>
    </row>
    <row r="365" spans="8:9">
      <c r="H365" s="317" t="s"/>
      <c r="I365" s="318" t="s"/>
    </row>
    <row r="366" spans="8:9">
      <c r="H366" s="317" t="s"/>
      <c r="I366" s="318" t="s"/>
    </row>
    <row r="367" spans="8:9">
      <c r="H367" s="317" t="s"/>
      <c r="I367" s="318" t="s"/>
    </row>
    <row r="368" spans="8:9">
      <c r="H368" s="317" t="s"/>
      <c r="I368" s="318" t="s"/>
    </row>
    <row r="369" spans="8:9">
      <c r="H369" s="317" t="s"/>
      <c r="I369" s="318" t="s"/>
    </row>
    <row r="370" spans="8:9">
      <c r="H370" s="317" t="s"/>
      <c r="I370" s="318" t="s"/>
    </row>
    <row r="371" spans="8:9">
      <c r="H371" s="317" t="s"/>
      <c r="I371" s="318" t="s"/>
    </row>
    <row r="372" spans="8:9">
      <c r="H372" s="317" t="s"/>
      <c r="I372" s="318" t="s"/>
    </row>
    <row r="373" spans="8:9">
      <c r="H373" s="317" t="s"/>
      <c r="I373" s="318" t="s"/>
    </row>
    <row r="374" spans="8:9">
      <c r="H374" s="317" t="s"/>
      <c r="I374" s="318" t="s"/>
    </row>
    <row r="375" spans="8:9">
      <c r="H375" s="317" t="s"/>
      <c r="I375" s="318" t="s"/>
    </row>
    <row r="376" spans="8:9">
      <c r="H376" s="317" t="s"/>
      <c r="I376" s="318" t="s"/>
    </row>
    <row r="377" spans="8:9">
      <c r="H377" s="317" t="s"/>
      <c r="I377" s="318" t="s"/>
    </row>
    <row r="378" spans="8:9">
      <c r="H378" s="317" t="s"/>
      <c r="I378" s="318" t="s"/>
    </row>
    <row r="379" spans="8:9">
      <c r="H379" s="317" t="s"/>
      <c r="I379" s="318" t="s"/>
    </row>
    <row r="380" spans="8:9">
      <c r="H380" s="317" t="s"/>
      <c r="I380" s="318" t="s"/>
    </row>
    <row r="381" spans="8:9">
      <c r="H381" s="317" t="s"/>
      <c r="I381" s="318" t="s"/>
    </row>
    <row r="382" spans="8:9">
      <c r="H382" s="317" t="s"/>
      <c r="I382" s="318" t="s"/>
    </row>
    <row r="383" spans="8:9">
      <c r="H383" s="317" t="s"/>
      <c r="I383" s="318" t="s"/>
    </row>
    <row r="384" spans="8:9">
      <c r="H384" s="317" t="s"/>
      <c r="I384" s="318" t="s"/>
    </row>
    <row r="385" spans="8:9">
      <c r="H385" s="317" t="s"/>
      <c r="I385" s="318" t="s"/>
    </row>
    <row r="386" spans="8:9">
      <c r="H386" s="317" t="s"/>
      <c r="I386" s="318" t="s"/>
    </row>
    <row r="387" spans="8:9">
      <c r="H387" s="317" t="s"/>
      <c r="I387" s="318" t="s"/>
    </row>
    <row r="388" spans="8:9">
      <c r="H388" s="317" t="s"/>
      <c r="I388" s="318" t="s"/>
    </row>
    <row r="389" spans="8:9">
      <c r="H389" s="317" t="s"/>
      <c r="I389" s="318" t="s"/>
    </row>
    <row r="390" spans="8:9">
      <c r="H390" s="317" t="s"/>
      <c r="I390" s="318" t="s"/>
    </row>
    <row r="391" spans="8:9">
      <c r="H391" s="317" t="s"/>
      <c r="I391" s="318" t="s"/>
    </row>
    <row r="392" spans="8:9">
      <c r="H392" s="317" t="s"/>
      <c r="I392" s="318" t="s"/>
    </row>
    <row r="393" spans="8:9">
      <c r="H393" s="317" t="s"/>
      <c r="I393" s="318" t="s"/>
    </row>
    <row r="394" spans="8:9">
      <c r="H394" s="317" t="s"/>
      <c r="I394" s="318" t="s"/>
    </row>
    <row r="395" spans="8:9">
      <c r="H395" s="317" t="s"/>
      <c r="I395" s="318" t="s"/>
    </row>
    <row r="396" spans="8:9">
      <c r="H396" s="317" t="s"/>
      <c r="I396" s="318" t="s"/>
    </row>
    <row r="397" spans="8:9">
      <c r="H397" s="317" t="s"/>
      <c r="I397" s="318" t="s"/>
    </row>
    <row r="398" spans="8:9">
      <c r="H398" s="317" t="s"/>
      <c r="I398" s="318" t="s"/>
    </row>
    <row r="399" spans="8:9">
      <c r="H399" s="317" t="s"/>
      <c r="I399" s="318" t="s"/>
    </row>
    <row r="400" spans="8:9">
      <c r="H400" s="317" t="s"/>
      <c r="I400" s="318" t="s"/>
    </row>
    <row r="401" spans="8:9">
      <c r="H401" s="317" t="s"/>
      <c r="I401" s="318" t="s"/>
    </row>
    <row r="402" spans="8:9">
      <c r="H402" s="317" t="s"/>
      <c r="I402" s="318" t="s"/>
    </row>
    <row r="403" spans="8:9">
      <c r="H403" s="317" t="s"/>
      <c r="I403" s="318" t="s"/>
    </row>
    <row r="404" spans="8:9">
      <c r="H404" s="317" t="s"/>
      <c r="I404" s="318" t="s"/>
    </row>
    <row r="405" spans="8:9">
      <c r="H405" s="317" t="s"/>
      <c r="I405" s="318" t="s"/>
    </row>
    <row r="406" spans="8:9">
      <c r="H406" s="317" t="s"/>
      <c r="I406" s="318" t="s"/>
    </row>
    <row r="407" spans="8:9">
      <c r="H407" s="317" t="s"/>
      <c r="I407" s="318" t="s"/>
    </row>
    <row r="408" spans="8:9">
      <c r="H408" s="317" t="s"/>
      <c r="I408" s="318" t="s"/>
    </row>
    <row r="409" spans="8:9">
      <c r="H409" s="317" t="s"/>
      <c r="I409" s="318" t="s"/>
    </row>
    <row r="410" spans="8:9">
      <c r="H410" s="317" t="s"/>
      <c r="I410" s="318" t="s"/>
    </row>
    <row r="411" spans="8:9">
      <c r="H411" s="317" t="s"/>
      <c r="I411" s="318" t="s"/>
    </row>
    <row r="412" spans="8:9">
      <c r="H412" s="317" t="s"/>
      <c r="I412" s="318" t="s"/>
    </row>
    <row r="413" spans="8:9">
      <c r="H413" s="317" t="s"/>
      <c r="I413" s="318" t="s"/>
    </row>
    <row r="414" spans="8:9">
      <c r="H414" s="317" t="s"/>
      <c r="I414" s="318" t="s"/>
    </row>
    <row r="415" spans="8:9">
      <c r="H415" s="317" t="s"/>
      <c r="I415" s="318" t="s"/>
    </row>
    <row r="416" spans="8:9">
      <c r="H416" s="317" t="s"/>
      <c r="I416" s="318" t="s"/>
    </row>
    <row r="417" spans="8:9">
      <c r="H417" s="317" t="s"/>
      <c r="I417" s="318" t="s"/>
    </row>
    <row r="418" spans="8:9">
      <c r="H418" s="317" t="s"/>
      <c r="I418" s="318" t="s"/>
    </row>
    <row r="419" spans="8:9">
      <c r="H419" s="317" t="s"/>
      <c r="I419" s="318" t="s"/>
    </row>
    <row r="420" spans="8:9">
      <c r="H420" s="317" t="s"/>
      <c r="I420" s="318" t="s"/>
    </row>
    <row r="421" spans="8:9">
      <c r="H421" s="317" t="s"/>
      <c r="I421" s="318" t="s"/>
    </row>
    <row r="422" spans="8:9">
      <c r="H422" s="317" t="s"/>
      <c r="I422" s="318" t="s"/>
    </row>
    <row r="423" spans="8:9">
      <c r="H423" s="317" t="s"/>
      <c r="I423" s="318" t="s"/>
    </row>
    <row r="424" spans="8:9">
      <c r="H424" s="317" t="s"/>
      <c r="I424" s="318" t="s"/>
    </row>
    <row r="425" spans="8:9">
      <c r="H425" s="317" t="s"/>
      <c r="I425" s="318" t="s"/>
    </row>
    <row r="426" spans="8:9">
      <c r="H426" s="317" t="s"/>
      <c r="I426" s="318" t="s"/>
    </row>
    <row r="427" spans="8:9">
      <c r="H427" s="317" t="s"/>
      <c r="I427" s="318" t="s"/>
    </row>
    <row r="428" spans="8:9">
      <c r="H428" s="317" t="s"/>
      <c r="I428" s="318" t="s"/>
    </row>
    <row r="429" spans="8:9">
      <c r="H429" s="317" t="s"/>
      <c r="I429" s="318" t="s"/>
    </row>
    <row r="430" spans="8:9">
      <c r="H430" s="317" t="s"/>
      <c r="I430" s="318" t="s"/>
    </row>
    <row r="431" spans="8:9">
      <c r="H431" s="317" t="s"/>
      <c r="I431" s="318" t="s"/>
    </row>
    <row r="432" spans="8:9">
      <c r="H432" s="317" t="s"/>
      <c r="I432" s="318" t="s"/>
    </row>
    <row r="433" spans="8:9">
      <c r="H433" s="317" t="s"/>
      <c r="I433" s="318" t="s"/>
    </row>
    <row r="434" spans="8:9">
      <c r="H434" s="317" t="s"/>
      <c r="I434" s="318" t="s"/>
    </row>
    <row r="435" spans="8:9">
      <c r="H435" s="317" t="s"/>
      <c r="I435" s="318" t="s"/>
    </row>
    <row r="436" spans="8:9">
      <c r="H436" s="317" t="s"/>
      <c r="I436" s="318" t="s"/>
    </row>
    <row r="437" spans="8:9">
      <c r="H437" s="317" t="s"/>
      <c r="I437" s="318" t="s"/>
    </row>
    <row r="438" spans="8:9">
      <c r="H438" s="317" t="s"/>
      <c r="I438" s="318" t="s"/>
    </row>
    <row r="439" spans="8:9">
      <c r="H439" s="317" t="s"/>
      <c r="I439" s="318" t="s"/>
    </row>
    <row r="440" spans="8:9">
      <c r="H440" s="317" t="s"/>
      <c r="I440" s="318" t="s"/>
    </row>
    <row r="441" spans="8:9">
      <c r="H441" s="317" t="s"/>
      <c r="I441" s="318" t="s"/>
    </row>
    <row r="442" spans="8:9">
      <c r="H442" s="317" t="s"/>
      <c r="I442" s="318" t="s"/>
    </row>
    <row r="443" spans="8:9">
      <c r="H443" s="317" t="s"/>
      <c r="I443" s="318" t="s"/>
    </row>
    <row r="444" spans="8:9">
      <c r="H444" s="317" t="s"/>
      <c r="I444" s="318" t="s"/>
    </row>
    <row r="445" spans="8:9">
      <c r="H445" s="317" t="s"/>
      <c r="I445" s="318" t="s"/>
    </row>
    <row r="446" spans="8:9">
      <c r="H446" s="317" t="s"/>
      <c r="I446" s="318" t="s"/>
    </row>
    <row r="447" spans="8:9">
      <c r="H447" s="317" t="s"/>
      <c r="I447" s="318" t="s"/>
    </row>
    <row r="448" spans="8:9">
      <c r="H448" s="317" t="s"/>
      <c r="I448" s="318" t="s"/>
    </row>
    <row r="449" spans="8:9">
      <c r="H449" s="317" t="s"/>
      <c r="I449" s="318" t="s"/>
    </row>
    <row r="450" spans="8:9">
      <c r="H450" s="317" t="s"/>
      <c r="I450" s="318" t="s"/>
    </row>
    <row r="451" spans="8:9">
      <c r="H451" s="317" t="s"/>
      <c r="I451" s="318" t="s"/>
    </row>
    <row r="452" spans="8:9">
      <c r="H452" s="317" t="s"/>
      <c r="I452" s="318" t="s"/>
    </row>
    <row r="453" spans="8:9">
      <c r="H453" s="317" t="s"/>
      <c r="I453" s="318" t="s"/>
    </row>
    <row r="454" spans="8:9">
      <c r="H454" s="317" t="s"/>
      <c r="I454" s="318" t="s"/>
    </row>
    <row r="455" spans="8:9">
      <c r="H455" s="317" t="s"/>
      <c r="I455" s="318" t="s"/>
    </row>
    <row r="456" spans="8:9">
      <c r="H456" s="317" t="s"/>
      <c r="I456" s="318" t="s"/>
    </row>
    <row r="457" spans="8:9">
      <c r="H457" s="317" t="s"/>
      <c r="I457" s="318" t="s"/>
    </row>
    <row r="458" spans="8:9">
      <c r="H458" s="317" t="s"/>
      <c r="I458" s="318" t="s"/>
    </row>
    <row r="459" spans="8:9">
      <c r="H459" s="317" t="s"/>
      <c r="I459" s="318" t="s"/>
    </row>
    <row r="460" spans="8:9">
      <c r="H460" s="317" t="s"/>
      <c r="I460" s="318" t="s"/>
    </row>
    <row r="461" spans="8:9">
      <c r="H461" s="317" t="s"/>
      <c r="I461" s="318" t="s"/>
    </row>
    <row r="462" spans="8:9">
      <c r="H462" s="317" t="s"/>
      <c r="I462" s="318" t="s"/>
    </row>
    <row r="463" spans="8:9">
      <c r="H463" s="317" t="s"/>
      <c r="I463" s="318" t="s"/>
    </row>
    <row r="464" spans="8:9">
      <c r="H464" s="317" t="s"/>
      <c r="I464" s="318" t="s"/>
    </row>
    <row r="465" spans="8:9">
      <c r="H465" s="317" t="s"/>
      <c r="I465" s="318" t="s"/>
    </row>
    <row r="466" spans="8:9">
      <c r="H466" s="317" t="s"/>
      <c r="I466" s="318" t="s"/>
    </row>
    <row r="467" spans="8:9">
      <c r="H467" s="317" t="s"/>
      <c r="I467" s="318" t="s"/>
    </row>
    <row r="468" spans="8:9">
      <c r="H468" s="317" t="s"/>
      <c r="I468" s="318" t="s"/>
    </row>
    <row r="469" spans="8:9">
      <c r="H469" s="317" t="s"/>
      <c r="I469" s="318" t="s"/>
    </row>
    <row r="470" spans="8:9">
      <c r="H470" s="317" t="s"/>
      <c r="I470" s="318" t="s"/>
    </row>
    <row r="471" spans="8:9">
      <c r="H471" s="317" t="s"/>
      <c r="I471" s="318" t="s"/>
    </row>
    <row r="472" spans="8:9">
      <c r="H472" s="317" t="s"/>
      <c r="I472" s="318" t="s"/>
    </row>
    <row r="473" spans="8:9">
      <c r="H473" s="317" t="s"/>
      <c r="I473" s="318" t="s"/>
    </row>
    <row r="474" spans="8:9">
      <c r="H474" s="317" t="s"/>
      <c r="I474" s="318" t="s"/>
    </row>
    <row r="475" spans="8:9">
      <c r="H475" s="317" t="s"/>
      <c r="I475" s="318" t="s"/>
    </row>
    <row r="476" spans="8:9">
      <c r="H476" s="317" t="s"/>
      <c r="I476" s="318" t="s"/>
    </row>
    <row r="477" spans="8:9">
      <c r="H477" s="317" t="s"/>
      <c r="I477" s="318" t="s"/>
    </row>
    <row r="478" spans="8:9">
      <c r="H478" s="317" t="s"/>
      <c r="I478" s="318" t="s"/>
    </row>
    <row r="479" spans="8:9">
      <c r="H479" s="317" t="s"/>
      <c r="I479" s="318" t="s"/>
    </row>
    <row r="480" spans="8:9">
      <c r="H480" s="317" t="s"/>
      <c r="I480" s="318" t="s"/>
    </row>
    <row r="481" spans="8:9">
      <c r="H481" s="317" t="s"/>
      <c r="I481" s="318" t="s"/>
    </row>
    <row r="482" spans="8:9">
      <c r="H482" s="317" t="s"/>
      <c r="I482" s="318" t="s"/>
    </row>
    <row r="483" spans="8:9">
      <c r="H483" s="317" t="s"/>
      <c r="I483" s="318" t="s"/>
    </row>
    <row r="484" spans="8:9">
      <c r="H484" s="317" t="s"/>
      <c r="I484" s="318" t="s"/>
    </row>
    <row r="485" spans="8:9">
      <c r="H485" s="317" t="s"/>
      <c r="I485" s="318" t="s"/>
    </row>
    <row r="486" spans="8:9">
      <c r="H486" s="317" t="s"/>
      <c r="I486" s="318" t="s"/>
    </row>
    <row r="487" spans="8:9">
      <c r="H487" s="317" t="s"/>
      <c r="I487" s="318" t="s"/>
    </row>
    <row r="488" spans="8:9">
      <c r="H488" s="317" t="s"/>
      <c r="I488" s="318" t="s"/>
    </row>
    <row r="489" spans="8:9">
      <c r="H489" s="317" t="s"/>
      <c r="I489" s="318" t="s"/>
    </row>
    <row r="490" spans="8:9">
      <c r="H490" s="317" t="s"/>
      <c r="I490" s="318" t="s"/>
    </row>
    <row r="491" spans="8:9">
      <c r="H491" s="317" t="s"/>
      <c r="I491" s="318" t="s"/>
    </row>
    <row r="492" spans="8:9">
      <c r="H492" s="317" t="s"/>
      <c r="I492" s="318" t="s"/>
    </row>
    <row r="493" spans="8:9">
      <c r="H493" s="317" t="s"/>
      <c r="I493" s="318" t="s"/>
    </row>
    <row r="494" spans="8:9">
      <c r="H494" s="317" t="s"/>
      <c r="I494" s="318" t="s"/>
    </row>
    <row r="495" spans="8:9">
      <c r="H495" s="317" t="s"/>
      <c r="I495" s="318" t="s"/>
    </row>
    <row r="496" spans="8:9">
      <c r="H496" s="317" t="s"/>
      <c r="I496" s="318" t="s"/>
    </row>
    <row r="497" spans="8:9">
      <c r="H497" s="317" t="s"/>
      <c r="I497" s="318" t="s"/>
    </row>
    <row r="498" spans="8:9">
      <c r="H498" s="317" t="s"/>
      <c r="I498" s="318" t="s"/>
    </row>
    <row r="499" spans="8:9">
      <c r="H499" s="317" t="s"/>
      <c r="I499" s="318" t="s"/>
    </row>
    <row r="500" spans="8:9">
      <c r="H500" s="317" t="s"/>
      <c r="I500" s="318" t="s"/>
    </row>
    <row r="501" spans="8:9">
      <c r="H501" s="317" t="s"/>
      <c r="I501" s="318" t="s"/>
    </row>
    <row r="502" spans="8:9">
      <c r="H502" s="317" t="s"/>
      <c r="I502" s="318" t="s"/>
    </row>
    <row r="503" spans="8:9">
      <c r="H503" s="317" t="s"/>
      <c r="I503" s="318" t="s"/>
    </row>
    <row r="504" spans="8:9">
      <c r="H504" s="317" t="s"/>
      <c r="I504" s="318" t="s"/>
    </row>
    <row r="505" spans="8:9">
      <c r="H505" s="317" t="s"/>
      <c r="I505" s="318" t="s"/>
    </row>
    <row r="506" spans="8:9">
      <c r="H506" s="317" t="s"/>
      <c r="I506" s="318" t="s"/>
    </row>
    <row r="507" spans="8:9">
      <c r="H507" s="317" t="s"/>
      <c r="I507" s="318" t="s"/>
    </row>
    <row r="508" spans="8:9">
      <c r="H508" s="317" t="s"/>
      <c r="I508" s="318" t="s"/>
    </row>
    <row r="509" spans="8:9">
      <c r="H509" s="317" t="s"/>
      <c r="I509" s="318" t="s"/>
    </row>
    <row r="510" spans="8:9">
      <c r="H510" s="317" t="s"/>
      <c r="I510" s="318" t="s"/>
    </row>
    <row r="511" spans="8:9">
      <c r="H511" s="317" t="s"/>
      <c r="I511" s="318" t="s"/>
    </row>
    <row r="512" spans="8:9">
      <c r="H512" s="317" t="s"/>
      <c r="I512" s="318" t="s"/>
    </row>
    <row r="513" spans="8:9">
      <c r="H513" s="317" t="s"/>
      <c r="I513" s="318" t="s"/>
    </row>
    <row r="514" spans="8:9">
      <c r="H514" s="317" t="s"/>
      <c r="I514" s="318" t="s"/>
    </row>
    <row r="515" spans="8:9">
      <c r="H515" s="317" t="s"/>
      <c r="I515" s="318" t="s"/>
    </row>
    <row r="516" spans="8:9">
      <c r="H516" s="317" t="s"/>
      <c r="I516" s="318" t="s"/>
    </row>
    <row r="517" spans="8:9">
      <c r="H517" s="317" t="s"/>
      <c r="I517" s="318" t="s"/>
    </row>
    <row r="518" spans="8:9">
      <c r="H518" s="317" t="s"/>
      <c r="I518" s="318" t="s"/>
    </row>
    <row r="519" spans="8:9">
      <c r="H519" s="317" t="s"/>
      <c r="I519" s="318" t="s"/>
    </row>
    <row r="520" spans="8:9">
      <c r="H520" s="317" t="s"/>
      <c r="I520" s="318" t="s"/>
    </row>
    <row r="521" spans="8:9">
      <c r="H521" s="317" t="s"/>
      <c r="I521" s="318" t="s"/>
    </row>
    <row r="522" spans="8:9">
      <c r="H522" s="317" t="s"/>
      <c r="I522" s="318" t="s"/>
    </row>
    <row r="523" spans="8:9">
      <c r="H523" s="317" t="s"/>
      <c r="I523" s="318" t="s"/>
    </row>
    <row r="524" spans="8:9">
      <c r="H524" s="317" t="s"/>
      <c r="I524" s="318" t="s"/>
    </row>
    <row r="525" spans="8:9">
      <c r="H525" s="317" t="s"/>
      <c r="I525" s="318" t="s"/>
    </row>
    <row r="526" spans="8:9">
      <c r="H526" s="317" t="s"/>
      <c r="I526" s="318" t="s"/>
    </row>
    <row r="527" spans="8:9">
      <c r="H527" s="317" t="s"/>
      <c r="I527" s="318" t="s"/>
    </row>
    <row r="528" spans="8:9">
      <c r="H528" s="317" t="s"/>
      <c r="I528" s="318" t="s"/>
    </row>
    <row r="529" spans="8:9">
      <c r="H529" s="317" t="s"/>
      <c r="I529" s="318" t="s"/>
    </row>
    <row r="530" spans="8:9">
      <c r="H530" s="317" t="s"/>
      <c r="I530" s="318" t="s"/>
    </row>
    <row r="531" spans="8:9">
      <c r="H531" s="317" t="s"/>
      <c r="I531" s="318" t="s"/>
    </row>
    <row r="532" spans="8:9">
      <c r="H532" s="317" t="s"/>
      <c r="I532" s="318" t="s"/>
    </row>
    <row r="533" spans="8:9">
      <c r="H533" s="317" t="s"/>
      <c r="I533" s="318" t="s"/>
    </row>
    <row r="534" spans="8:9">
      <c r="H534" s="317" t="s"/>
      <c r="I534" s="318" t="s"/>
    </row>
    <row r="535" spans="8:9">
      <c r="H535" s="317" t="s"/>
      <c r="I535" s="318" t="s"/>
    </row>
    <row r="536" spans="8:9">
      <c r="H536" s="317" t="s"/>
      <c r="I536" s="318" t="s"/>
    </row>
    <row r="537" spans="8:9">
      <c r="H537" s="317" t="s"/>
      <c r="I537" s="318" t="s"/>
    </row>
    <row r="538" spans="8:9">
      <c r="H538" s="317" t="s"/>
      <c r="I538" s="318" t="s"/>
    </row>
    <row r="539" spans="8:9">
      <c r="H539" s="317" t="s"/>
      <c r="I539" s="318" t="s"/>
    </row>
    <row r="540" spans="8:9">
      <c r="H540" s="317" t="s"/>
      <c r="I540" s="318" t="s"/>
    </row>
    <row r="541" spans="8:9">
      <c r="H541" s="317" t="s"/>
      <c r="I541" s="318" t="s"/>
    </row>
    <row r="542" spans="8:9">
      <c r="H542" s="317" t="s"/>
      <c r="I542" s="318" t="s"/>
    </row>
    <row r="543" spans="8:9">
      <c r="H543" s="317" t="s"/>
      <c r="I543" s="318" t="s"/>
    </row>
    <row r="544" spans="8:9">
      <c r="H544" s="317" t="s"/>
      <c r="I544" s="318" t="s"/>
    </row>
    <row r="545" spans="8:9">
      <c r="H545" s="317" t="s"/>
      <c r="I545" s="318" t="s"/>
    </row>
    <row r="546" spans="8:9">
      <c r="H546" s="317" t="s"/>
      <c r="I546" s="318" t="s"/>
    </row>
    <row r="547" spans="8:9">
      <c r="H547" s="317" t="s"/>
      <c r="I547" s="318" t="s"/>
    </row>
    <row r="548" spans="8:9">
      <c r="H548" s="317" t="s"/>
      <c r="I548" s="318" t="s"/>
    </row>
    <row r="549" spans="8:9">
      <c r="H549" s="317" t="s"/>
      <c r="I549" s="318" t="s"/>
    </row>
    <row r="550" spans="8:9">
      <c r="H550" s="317" t="s"/>
      <c r="I550" s="318" t="s"/>
    </row>
    <row r="551" spans="8:9">
      <c r="H551" s="317" t="s"/>
      <c r="I551" s="318" t="s"/>
    </row>
    <row r="552" spans="8:9">
      <c r="H552" s="317" t="s"/>
      <c r="I552" s="318" t="s"/>
    </row>
    <row r="553" spans="8:9">
      <c r="H553" s="317" t="s"/>
      <c r="I553" s="318" t="s"/>
    </row>
    <row r="554" spans="8:9">
      <c r="H554" s="317" t="s"/>
      <c r="I554" s="318" t="s"/>
    </row>
    <row r="555" spans="8:9">
      <c r="H555" s="317" t="s"/>
      <c r="I555" s="318" t="s"/>
    </row>
    <row r="556" spans="8:9">
      <c r="H556" s="317" t="s"/>
      <c r="I556" s="318" t="s"/>
    </row>
    <row r="557" spans="8:9">
      <c r="H557" s="317" t="s"/>
      <c r="I557" s="318" t="s"/>
    </row>
    <row r="558" spans="8:9">
      <c r="H558" s="317" t="s"/>
      <c r="I558" s="318" t="s"/>
    </row>
    <row r="559" spans="8:9">
      <c r="H559" s="317" t="s"/>
      <c r="I559" s="318" t="s"/>
    </row>
    <row r="560" spans="8:9">
      <c r="H560" s="317" t="s"/>
      <c r="I560" s="318" t="s"/>
    </row>
    <row r="561" spans="8:9">
      <c r="H561" s="317" t="s"/>
      <c r="I561" s="318" t="s"/>
    </row>
    <row r="562" spans="8:9">
      <c r="H562" s="317" t="s"/>
      <c r="I562" s="318" t="s"/>
    </row>
    <row r="563" spans="8:9">
      <c r="H563" s="317" t="s"/>
      <c r="I563" s="318" t="s"/>
    </row>
    <row r="564" spans="8:9">
      <c r="H564" s="317" t="s"/>
      <c r="I564" s="318" t="s"/>
    </row>
    <row r="565" spans="8:9">
      <c r="H565" s="317" t="s"/>
      <c r="I565" s="318" t="s"/>
    </row>
    <row r="566" spans="8:9">
      <c r="H566" s="317" t="s"/>
      <c r="I566" s="318" t="s"/>
    </row>
    <row r="567" spans="8:9">
      <c r="H567" s="317" t="s"/>
      <c r="I567" s="318" t="s"/>
    </row>
    <row r="568" spans="8:9">
      <c r="H568" s="317" t="s"/>
      <c r="I568" s="318" t="s"/>
    </row>
    <row r="569" spans="8:9">
      <c r="H569" s="317" t="s"/>
      <c r="I569" s="318" t="s"/>
    </row>
    <row r="570" spans="8:9">
      <c r="H570" s="317" t="s"/>
      <c r="I570" s="318" t="s"/>
    </row>
    <row r="571" spans="8:9">
      <c r="H571" s="317" t="s"/>
      <c r="I571" s="318" t="s"/>
    </row>
    <row r="572" spans="8:9">
      <c r="H572" s="317" t="s"/>
      <c r="I572" s="318" t="s"/>
    </row>
    <row r="573" spans="8:9">
      <c r="H573" s="317" t="s"/>
      <c r="I573" s="318" t="s"/>
    </row>
    <row r="574" spans="8:9">
      <c r="H574" s="317" t="s"/>
      <c r="I574" s="318" t="s"/>
    </row>
    <row r="575" spans="8:9">
      <c r="H575" s="317" t="s"/>
      <c r="I575" s="318" t="s"/>
    </row>
    <row r="576" spans="8:9">
      <c r="H576" s="317" t="s"/>
      <c r="I576" s="318" t="s"/>
    </row>
    <row r="577" spans="8:9">
      <c r="H577" s="317" t="s"/>
      <c r="I577" s="318" t="s"/>
    </row>
    <row r="578" spans="8:9">
      <c r="H578" s="317" t="s"/>
      <c r="I578" s="318" t="s"/>
    </row>
    <row r="579" spans="8:9">
      <c r="H579" s="317" t="s"/>
      <c r="I579" s="318" t="s"/>
    </row>
    <row r="580" spans="8:9">
      <c r="H580" s="317" t="s"/>
      <c r="I580" s="318" t="s"/>
    </row>
    <row r="581" spans="8:9">
      <c r="H581" s="317" t="s"/>
      <c r="I581" s="318" t="s"/>
    </row>
    <row r="582" spans="8:9">
      <c r="H582" s="317" t="s"/>
      <c r="I582" s="318" t="s"/>
    </row>
    <row r="583" spans="8:9">
      <c r="H583" s="317" t="s"/>
      <c r="I583" s="318" t="s"/>
    </row>
    <row r="584" spans="8:9">
      <c r="H584" s="317" t="s"/>
      <c r="I584" s="318" t="s"/>
    </row>
    <row r="585" spans="8:9">
      <c r="H585" s="317" t="s"/>
      <c r="I585" s="318" t="s"/>
    </row>
    <row r="586" spans="8:9">
      <c r="H586" s="317" t="s"/>
      <c r="I586" s="318" t="s"/>
    </row>
    <row r="587" spans="8:9">
      <c r="H587" s="317" t="s"/>
      <c r="I587" s="318" t="s"/>
    </row>
    <row r="588" spans="8:9">
      <c r="H588" s="317" t="s"/>
      <c r="I588" s="318" t="s"/>
    </row>
    <row r="589" spans="8:9">
      <c r="H589" s="317" t="s"/>
      <c r="I589" s="318" t="s"/>
    </row>
    <row r="590" spans="8:9">
      <c r="H590" s="317" t="s"/>
      <c r="I590" s="318" t="s"/>
    </row>
    <row r="591" spans="8:9">
      <c r="H591" s="317" t="s"/>
      <c r="I591" s="318" t="s"/>
    </row>
    <row r="592" spans="8:9">
      <c r="H592" s="317" t="s"/>
      <c r="I592" s="318" t="s"/>
    </row>
    <row r="593" spans="8:9">
      <c r="H593" s="317" t="s"/>
      <c r="I593" s="318" t="s"/>
    </row>
    <row r="594" spans="8:9">
      <c r="H594" s="317" t="s"/>
      <c r="I594" s="318" t="s"/>
    </row>
    <row r="595" spans="8:9">
      <c r="H595" s="317" t="s"/>
      <c r="I595" s="318" t="s"/>
    </row>
    <row r="596" spans="8:9">
      <c r="H596" s="317" t="s"/>
      <c r="I596" s="318" t="s"/>
    </row>
    <row r="597" spans="8:9">
      <c r="H597" s="317" t="s"/>
      <c r="I597" s="318" t="s"/>
    </row>
    <row r="598" spans="8:9">
      <c r="H598" s="317" t="s"/>
      <c r="I598" s="318" t="s"/>
    </row>
    <row r="599" spans="8:9">
      <c r="H599" s="317" t="s"/>
      <c r="I599" s="318" t="s"/>
    </row>
    <row r="600" spans="8:9">
      <c r="H600" s="317" t="s"/>
      <c r="I600" s="318" t="s"/>
    </row>
    <row r="601" spans="8:9">
      <c r="H601" s="317" t="s"/>
      <c r="I601" s="318" t="s"/>
    </row>
    <row r="602" spans="8:9">
      <c r="H602" s="317" t="s"/>
      <c r="I602" s="318" t="s"/>
    </row>
    <row r="603" spans="8:9">
      <c r="H603" s="317" t="s"/>
      <c r="I603" s="318" t="s"/>
    </row>
    <row r="604" spans="8:9">
      <c r="H604" s="317" t="s"/>
      <c r="I604" s="318" t="s"/>
    </row>
    <row r="605" spans="8:9">
      <c r="H605" s="317" t="s"/>
      <c r="I605" s="318" t="s"/>
    </row>
    <row r="606" spans="8:9">
      <c r="H606" s="317" t="s"/>
      <c r="I606" s="318" t="s"/>
    </row>
    <row r="607" spans="8:9">
      <c r="H607" s="317" t="s"/>
      <c r="I607" s="318" t="s"/>
    </row>
    <row r="608" spans="8:9">
      <c r="H608" s="317" t="s"/>
      <c r="I608" s="318" t="s"/>
    </row>
    <row r="609" spans="8:9">
      <c r="H609" s="317" t="s"/>
      <c r="I609" s="318" t="s"/>
    </row>
    <row r="610" spans="8:9">
      <c r="H610" s="317" t="s"/>
      <c r="I610" s="318" t="s"/>
    </row>
    <row r="611" spans="8:9">
      <c r="H611" s="317" t="s"/>
      <c r="I611" s="318" t="s"/>
    </row>
    <row r="612" spans="8:9">
      <c r="H612" s="317" t="s"/>
      <c r="I612" s="318" t="s"/>
    </row>
    <row r="613" spans="8:9">
      <c r="H613" s="317" t="s"/>
      <c r="I613" s="318" t="s"/>
    </row>
    <row r="614" spans="8:9">
      <c r="H614" s="317" t="s"/>
      <c r="I614" s="318" t="s"/>
    </row>
    <row r="615" spans="8:9">
      <c r="H615" s="317" t="s"/>
      <c r="I615" s="318" t="s"/>
    </row>
    <row r="616" spans="8:9">
      <c r="H616" s="317" t="s"/>
      <c r="I616" s="318" t="s"/>
    </row>
    <row r="617" spans="8:9">
      <c r="H617" s="317" t="s"/>
      <c r="I617" s="318" t="s"/>
    </row>
    <row r="618" spans="8:9">
      <c r="H618" s="317" t="s"/>
      <c r="I618" s="318" t="s"/>
    </row>
    <row r="619" spans="8:9">
      <c r="H619" s="317" t="s"/>
      <c r="I619" s="318" t="s"/>
    </row>
    <row r="620" spans="8:9">
      <c r="H620" s="317" t="s"/>
      <c r="I620" s="318" t="s"/>
    </row>
    <row r="621" spans="8:9">
      <c r="H621" s="317" t="s"/>
      <c r="I621" s="318" t="s"/>
    </row>
    <row r="622" spans="8:9">
      <c r="H622" s="317" t="s"/>
      <c r="I622" s="318" t="s"/>
    </row>
    <row r="623" spans="8:9">
      <c r="H623" s="317" t="s"/>
      <c r="I623" s="318" t="s"/>
    </row>
    <row r="624" spans="8:9">
      <c r="H624" s="317" t="s"/>
      <c r="I624" s="318" t="s"/>
    </row>
    <row r="625" spans="8:9">
      <c r="H625" s="317" t="s"/>
      <c r="I625" s="318" t="s"/>
    </row>
    <row r="626" spans="8:9">
      <c r="H626" s="317" t="s"/>
      <c r="I626" s="318" t="s"/>
    </row>
    <row r="627" spans="8:9">
      <c r="H627" s="317" t="s"/>
      <c r="I627" s="318" t="s"/>
    </row>
    <row r="628" spans="8:9">
      <c r="H628" s="317" t="s"/>
      <c r="I628" s="318" t="s"/>
    </row>
    <row r="629" spans="8:9">
      <c r="H629" s="317" t="s"/>
      <c r="I629" s="318" t="s"/>
    </row>
    <row r="630" spans="8:9">
      <c r="H630" s="317" t="s"/>
      <c r="I630" s="318" t="s"/>
    </row>
    <row r="631" spans="8:9">
      <c r="H631" s="317" t="s"/>
      <c r="I631" s="318" t="s"/>
    </row>
    <row r="632" spans="8:9">
      <c r="H632" s="317" t="s"/>
      <c r="I632" s="318" t="s"/>
    </row>
    <row r="633" spans="8:9">
      <c r="H633" s="317" t="s"/>
      <c r="I633" s="318" t="s"/>
    </row>
    <row r="634" spans="8:9">
      <c r="H634" s="317" t="s"/>
      <c r="I634" s="318" t="s"/>
    </row>
    <row r="635" spans="8:9">
      <c r="H635" s="317" t="s"/>
      <c r="I635" s="318" t="s"/>
    </row>
    <row r="636" spans="8:9">
      <c r="H636" s="317" t="s"/>
      <c r="I636" s="318" t="s"/>
    </row>
    <row r="637" spans="8:9">
      <c r="H637" s="317" t="s"/>
      <c r="I637" s="318" t="s"/>
    </row>
    <row r="638" spans="8:9">
      <c r="H638" s="317" t="s"/>
      <c r="I638" s="318" t="s"/>
    </row>
    <row r="639" spans="8:9">
      <c r="H639" s="317" t="s"/>
      <c r="I639" s="318" t="s"/>
    </row>
    <row r="640" spans="8:9">
      <c r="H640" s="317" t="s"/>
      <c r="I640" s="318" t="s"/>
    </row>
    <row r="641" spans="8:9">
      <c r="H641" s="317" t="s"/>
      <c r="I641" s="318" t="s"/>
    </row>
    <row r="642" spans="8:9">
      <c r="H642" s="317" t="s"/>
      <c r="I642" s="318" t="s"/>
    </row>
    <row r="643" spans="8:9">
      <c r="H643" s="317" t="s"/>
      <c r="I643" s="318" t="s"/>
    </row>
    <row r="644" spans="8:9">
      <c r="H644" s="317" t="s"/>
      <c r="I644" s="318" t="s"/>
    </row>
    <row r="645" spans="8:9">
      <c r="H645" s="317" t="s"/>
      <c r="I645" s="318" t="s"/>
    </row>
    <row r="646" spans="8:9">
      <c r="H646" s="317" t="s"/>
      <c r="I646" s="318" t="s"/>
    </row>
    <row r="647" spans="8:9">
      <c r="H647" s="317" t="s"/>
      <c r="I647" s="318" t="s"/>
    </row>
    <row r="648" spans="8:9">
      <c r="H648" s="317" t="s"/>
      <c r="I648" s="318" t="s"/>
    </row>
    <row r="649" spans="8:9">
      <c r="H649" s="317" t="s"/>
      <c r="I649" s="318" t="s"/>
    </row>
    <row r="650" spans="8:9">
      <c r="H650" s="317" t="s"/>
      <c r="I650" s="318" t="s"/>
    </row>
    <row r="651" spans="8:9">
      <c r="H651" s="317" t="s"/>
      <c r="I651" s="318" t="s"/>
    </row>
    <row r="652" spans="8:9">
      <c r="H652" s="317" t="s"/>
      <c r="I652" s="318" t="s"/>
    </row>
    <row r="653" spans="8:9">
      <c r="H653" s="317" t="s"/>
      <c r="I653" s="318" t="s"/>
    </row>
    <row r="654" spans="8:9">
      <c r="H654" s="317" t="s"/>
      <c r="I654" s="318" t="s"/>
    </row>
    <row r="655" spans="8:9">
      <c r="H655" s="317" t="s"/>
      <c r="I655" s="318" t="s"/>
    </row>
    <row r="656" spans="8:9">
      <c r="H656" s="317" t="s"/>
      <c r="I656" s="318" t="s"/>
    </row>
    <row r="657" spans="8:9">
      <c r="H657" s="317" t="s"/>
      <c r="I657" s="318" t="s"/>
    </row>
    <row r="658" spans="8:9">
      <c r="H658" s="317" t="s"/>
      <c r="I658" s="318" t="s"/>
    </row>
    <row r="659" spans="8:9">
      <c r="H659" s="317" t="s"/>
      <c r="I659" s="318" t="s"/>
    </row>
    <row r="660" spans="8:9">
      <c r="H660" s="317" t="s"/>
      <c r="I660" s="318" t="s"/>
    </row>
    <row r="661" spans="8:9">
      <c r="H661" s="317" t="s"/>
      <c r="I661" s="318" t="s"/>
    </row>
    <row r="662" spans="8:9">
      <c r="H662" s="317" t="s"/>
      <c r="I662" s="318" t="s"/>
    </row>
    <row r="663" spans="8:9">
      <c r="H663" s="317" t="s"/>
      <c r="I663" s="318" t="s"/>
    </row>
    <row r="664" spans="8:9">
      <c r="H664" s="317" t="s"/>
      <c r="I664" s="318" t="s"/>
    </row>
    <row r="665" spans="8:9">
      <c r="H665" s="317" t="s"/>
      <c r="I665" s="318" t="s"/>
    </row>
    <row r="666" spans="8:9">
      <c r="H666" s="317" t="s"/>
      <c r="I666" s="318" t="s"/>
    </row>
    <row r="667" spans="8:9">
      <c r="H667" s="317" t="s"/>
      <c r="I667" s="318" t="s"/>
    </row>
    <row r="668" spans="8:9">
      <c r="H668" s="317" t="s"/>
      <c r="I668" s="318" t="s"/>
    </row>
    <row r="669" spans="8:9">
      <c r="H669" s="317" t="s"/>
      <c r="I669" s="318" t="s"/>
    </row>
    <row r="670" spans="8:9">
      <c r="H670" s="317" t="s"/>
      <c r="I670" s="318" t="s"/>
    </row>
    <row r="671" spans="8:9">
      <c r="H671" s="317" t="s"/>
      <c r="I671" s="318" t="s"/>
    </row>
    <row r="672" spans="8:9">
      <c r="H672" s="317" t="s"/>
      <c r="I672" s="318" t="s"/>
    </row>
    <row r="673" spans="8:9">
      <c r="H673" s="317" t="s"/>
      <c r="I673" s="318" t="s"/>
    </row>
    <row r="674" spans="8:9">
      <c r="H674" s="317" t="s"/>
      <c r="I674" s="318" t="s"/>
    </row>
    <row r="675" spans="8:9">
      <c r="H675" s="317" t="s"/>
      <c r="I675" s="318" t="s"/>
    </row>
    <row r="676" spans="8:9">
      <c r="H676" s="317" t="s"/>
      <c r="I676" s="318" t="s"/>
    </row>
    <row r="677" spans="8:9">
      <c r="H677" s="317" t="s"/>
      <c r="I677" s="318" t="s"/>
    </row>
    <row r="678" spans="8:9">
      <c r="H678" s="317" t="s"/>
      <c r="I678" s="318" t="s"/>
    </row>
    <row r="679" spans="8:9">
      <c r="H679" s="317" t="s"/>
      <c r="I679" s="318" t="s"/>
    </row>
    <row r="680" spans="8:9">
      <c r="H680" s="317" t="s"/>
      <c r="I680" s="318" t="s"/>
    </row>
    <row r="681" spans="8:9">
      <c r="H681" s="317" t="s"/>
      <c r="I681" s="318" t="s"/>
    </row>
    <row r="682" spans="8:9">
      <c r="H682" s="317" t="s"/>
      <c r="I682" s="318" t="s"/>
    </row>
    <row r="683" spans="8:9">
      <c r="H683" s="317" t="s"/>
      <c r="I683" s="318" t="s"/>
    </row>
    <row r="684" spans="8:9">
      <c r="H684" s="317" t="s"/>
      <c r="I684" s="318" t="s"/>
    </row>
    <row r="685" spans="8:9">
      <c r="H685" s="317" t="s"/>
      <c r="I685" s="318" t="s"/>
    </row>
    <row r="686" spans="8:9">
      <c r="H686" s="317" t="s"/>
      <c r="I686" s="318" t="s"/>
    </row>
    <row r="687" spans="8:9">
      <c r="H687" s="317" t="s"/>
      <c r="I687" s="318" t="s"/>
    </row>
    <row r="688" spans="8:9">
      <c r="H688" s="317" t="s"/>
      <c r="I688" s="318" t="s"/>
    </row>
    <row r="689" spans="8:9">
      <c r="H689" s="317" t="s"/>
      <c r="I689" s="318" t="s"/>
    </row>
    <row r="690" spans="8:9">
      <c r="H690" s="317" t="s"/>
      <c r="I690" s="318" t="s"/>
    </row>
    <row r="691" spans="8:9">
      <c r="H691" s="317" t="s"/>
      <c r="I691" s="318" t="s"/>
    </row>
    <row r="692" spans="8:9">
      <c r="H692" s="317" t="s"/>
      <c r="I692" s="318" t="s"/>
    </row>
    <row r="693" spans="8:9">
      <c r="H693" s="317" t="s"/>
      <c r="I693" s="318" t="s"/>
    </row>
    <row r="694" spans="8:9">
      <c r="H694" s="317" t="s"/>
      <c r="I694" s="318" t="s"/>
    </row>
    <row r="695" spans="8:9">
      <c r="H695" s="317" t="s"/>
      <c r="I695" s="318" t="s"/>
    </row>
    <row r="696" spans="8:9">
      <c r="H696" s="317" t="s"/>
      <c r="I696" s="318" t="s"/>
    </row>
    <row r="697" spans="8:9">
      <c r="H697" s="317" t="s"/>
      <c r="I697" s="318" t="s"/>
    </row>
    <row r="698" spans="8:9">
      <c r="H698" s="317" t="s"/>
      <c r="I698" s="318" t="s"/>
    </row>
    <row r="699" spans="8:9">
      <c r="H699" s="317" t="s"/>
      <c r="I699" s="318" t="s"/>
    </row>
    <row r="700" spans="8:9">
      <c r="H700" s="317" t="s"/>
      <c r="I700" s="318" t="s"/>
    </row>
    <row r="701" spans="8:9">
      <c r="H701" s="317" t="s"/>
      <c r="I701" s="318" t="s"/>
    </row>
    <row r="702" spans="8:9">
      <c r="H702" s="317" t="s"/>
      <c r="I702" s="318" t="s"/>
    </row>
    <row r="703" spans="8:9">
      <c r="H703" s="317" t="s"/>
      <c r="I703" s="318" t="s"/>
    </row>
    <row r="704" spans="8:9">
      <c r="H704" s="317" t="s"/>
      <c r="I704" s="318" t="s"/>
    </row>
    <row r="705" spans="8:9">
      <c r="H705" s="317" t="s"/>
      <c r="I705" s="318" t="s"/>
    </row>
    <row r="706" spans="8:9">
      <c r="H706" s="317" t="s"/>
      <c r="I706" s="318" t="s"/>
    </row>
    <row r="707" spans="8:9">
      <c r="H707" s="317" t="s"/>
      <c r="I707" s="318" t="s"/>
    </row>
    <row r="708" spans="8:9">
      <c r="H708" s="317" t="s"/>
      <c r="I708" s="318" t="s"/>
    </row>
    <row r="709" spans="8:9">
      <c r="H709" s="317" t="s"/>
      <c r="I709" s="318" t="s"/>
    </row>
    <row r="710" spans="8:9">
      <c r="H710" s="317" t="s"/>
      <c r="I710" s="318" t="s"/>
    </row>
    <row r="711" spans="8:9">
      <c r="H711" s="317" t="s"/>
      <c r="I711" s="318" t="s"/>
    </row>
    <row r="712" spans="8:9">
      <c r="H712" s="317" t="s"/>
      <c r="I712" s="318" t="s"/>
    </row>
    <row r="713" spans="8:9">
      <c r="H713" s="317" t="s"/>
      <c r="I713" s="318" t="s"/>
    </row>
    <row r="714" spans="8:9">
      <c r="H714" s="317" t="s"/>
      <c r="I714" s="318" t="s"/>
    </row>
    <row r="715" spans="8:9">
      <c r="H715" s="317" t="s"/>
      <c r="I715" s="318" t="s"/>
    </row>
    <row r="716" spans="8:9">
      <c r="H716" s="317" t="s"/>
      <c r="I716" s="318" t="s"/>
    </row>
    <row r="717" spans="8:9">
      <c r="H717" s="317" t="s"/>
      <c r="I717" s="318" t="s"/>
    </row>
    <row r="718" spans="8:9">
      <c r="H718" s="317" t="s"/>
      <c r="I718" s="318" t="s"/>
    </row>
    <row r="719" spans="8:9">
      <c r="H719" s="317" t="s"/>
      <c r="I719" s="318" t="s"/>
    </row>
    <row r="720" spans="8:9">
      <c r="H720" s="317" t="s"/>
      <c r="I720" s="318" t="s"/>
    </row>
    <row r="721" spans="8:9">
      <c r="H721" s="317" t="s"/>
      <c r="I721" s="318" t="s"/>
    </row>
    <row r="722" spans="8:9">
      <c r="H722" s="317" t="s"/>
      <c r="I722" s="318" t="s"/>
    </row>
    <row r="723" spans="8:9">
      <c r="H723" s="317" t="s"/>
      <c r="I723" s="318" t="s"/>
    </row>
    <row r="724" spans="8:9">
      <c r="H724" s="317" t="s"/>
      <c r="I724" s="318" t="s"/>
    </row>
    <row r="725" spans="8:9">
      <c r="H725" s="317" t="s"/>
      <c r="I725" s="318" t="s"/>
    </row>
    <row r="726" spans="8:9">
      <c r="H726" s="317" t="s"/>
      <c r="I726" s="318" t="s"/>
    </row>
    <row r="727" spans="8:9">
      <c r="H727" s="317" t="s"/>
      <c r="I727" s="318" t="s"/>
    </row>
    <row r="728" spans="8:9">
      <c r="H728" s="317" t="s"/>
      <c r="I728" s="318" t="s"/>
    </row>
    <row r="729" spans="8:9">
      <c r="H729" s="317" t="s"/>
      <c r="I729" s="318" t="s"/>
    </row>
    <row r="730" spans="8:9">
      <c r="H730" s="317" t="s"/>
      <c r="I730" s="318" t="s"/>
    </row>
    <row r="731" spans="8:9">
      <c r="H731" s="317" t="s"/>
      <c r="I731" s="318" t="s"/>
    </row>
    <row r="732" spans="8:9">
      <c r="H732" s="317" t="s"/>
      <c r="I732" s="318" t="s"/>
    </row>
    <row r="733" spans="8:9">
      <c r="H733" s="317" t="s"/>
      <c r="I733" s="318" t="s"/>
    </row>
    <row r="734" spans="8:9">
      <c r="H734" s="317" t="s"/>
      <c r="I734" s="318" t="s"/>
    </row>
    <row r="735" spans="8:9">
      <c r="H735" s="317" t="s"/>
      <c r="I735" s="318" t="s"/>
    </row>
    <row r="736" spans="8:9">
      <c r="H736" s="317" t="s"/>
      <c r="I736" s="318" t="s"/>
    </row>
    <row r="737" spans="8:9">
      <c r="H737" s="317" t="s"/>
      <c r="I737" s="318" t="s"/>
    </row>
    <row r="738" spans="8:9">
      <c r="H738" s="317" t="s"/>
      <c r="I738" s="318" t="s"/>
    </row>
    <row r="739" spans="8:9">
      <c r="H739" s="317" t="s"/>
      <c r="I739" s="318" t="s"/>
    </row>
    <row r="740" spans="8:9">
      <c r="H740" s="317" t="s"/>
      <c r="I740" s="318" t="s"/>
    </row>
    <row r="741" spans="8:9">
      <c r="H741" s="317" t="s"/>
      <c r="I741" s="318" t="s"/>
    </row>
    <row r="742" spans="8:9">
      <c r="H742" s="317" t="s"/>
      <c r="I742" s="318" t="s"/>
    </row>
    <row r="743" spans="8:9">
      <c r="H743" s="317" t="s"/>
      <c r="I743" s="318" t="s"/>
    </row>
    <row r="744" spans="8:9">
      <c r="H744" s="317" t="s"/>
      <c r="I744" s="318" t="s"/>
    </row>
    <row r="745" spans="8:9">
      <c r="H745" s="317" t="s"/>
      <c r="I745" s="318" t="s"/>
    </row>
    <row r="746" spans="8:9">
      <c r="H746" s="317" t="s"/>
      <c r="I746" s="318" t="s"/>
    </row>
    <row r="747" spans="8:9">
      <c r="H747" s="317" t="s"/>
      <c r="I747" s="318" t="s"/>
    </row>
    <row r="748" spans="8:9">
      <c r="H748" s="317" t="s"/>
      <c r="I748" s="318" t="s"/>
    </row>
    <row r="749" spans="8:9">
      <c r="H749" s="317" t="s"/>
      <c r="I749" s="318" t="s"/>
    </row>
    <row r="750" spans="8:9">
      <c r="H750" s="317" t="s"/>
      <c r="I750" s="318" t="s"/>
    </row>
    <row r="751" spans="8:9">
      <c r="H751" s="317" t="s"/>
      <c r="I751" s="318" t="s"/>
    </row>
    <row r="752" spans="8:9">
      <c r="H752" s="317" t="s"/>
      <c r="I752" s="318" t="s"/>
    </row>
    <row r="753" spans="8:9">
      <c r="H753" s="317" t="s"/>
      <c r="I753" s="318" t="s"/>
    </row>
    <row r="754" spans="8:9">
      <c r="H754" s="317" t="s"/>
      <c r="I754" s="318" t="s"/>
    </row>
    <row r="755" spans="8:9">
      <c r="H755" s="317" t="s"/>
      <c r="I755" s="318" t="s"/>
    </row>
    <row r="756" spans="8:9">
      <c r="H756" s="317" t="s"/>
      <c r="I756" s="318" t="s"/>
    </row>
    <row r="757" spans="8:9">
      <c r="H757" s="317" t="s"/>
      <c r="I757" s="318" t="s"/>
    </row>
    <row r="758" spans="8:9">
      <c r="H758" s="317" t="s"/>
      <c r="I758" s="318" t="s"/>
    </row>
    <row r="759" spans="8:9">
      <c r="H759" s="317" t="s"/>
      <c r="I759" s="318" t="s"/>
    </row>
    <row r="760" spans="8:9">
      <c r="H760" s="317" t="s"/>
      <c r="I760" s="318" t="s"/>
    </row>
    <row r="761" spans="8:9">
      <c r="H761" s="317" t="s"/>
      <c r="I761" s="318" t="s"/>
    </row>
    <row r="762" spans="8:9">
      <c r="H762" s="317" t="s"/>
      <c r="I762" s="318" t="s"/>
    </row>
    <row r="763" spans="8:9">
      <c r="H763" s="317" t="s"/>
      <c r="I763" s="318" t="s"/>
    </row>
    <row r="764" spans="8:9">
      <c r="H764" s="317" t="s"/>
      <c r="I764" s="318" t="s"/>
    </row>
    <row r="765" spans="8:9">
      <c r="H765" s="317" t="s"/>
      <c r="I765" s="318" t="s"/>
    </row>
    <row r="766" spans="8:9">
      <c r="H766" s="317" t="s"/>
      <c r="I766" s="318" t="s"/>
    </row>
    <row r="767" spans="8:9">
      <c r="H767" s="317" t="s"/>
      <c r="I767" s="318" t="s"/>
    </row>
    <row r="768" spans="8:9">
      <c r="H768" s="317" t="s"/>
      <c r="I768" s="318" t="s"/>
    </row>
    <row r="769" spans="8:9">
      <c r="H769" s="317" t="s"/>
      <c r="I769" s="318" t="s"/>
    </row>
    <row r="770" spans="8:9">
      <c r="H770" s="317" t="s"/>
      <c r="I770" s="318" t="s"/>
    </row>
    <row r="771" spans="8:9">
      <c r="H771" s="317" t="s"/>
      <c r="I771" s="318" t="s"/>
    </row>
    <row r="772" spans="8:9">
      <c r="H772" s="317" t="s"/>
      <c r="I772" s="318" t="s"/>
    </row>
    <row r="773" spans="8:9">
      <c r="H773" s="317" t="s"/>
      <c r="I773" s="318" t="s"/>
    </row>
    <row r="774" spans="8:9">
      <c r="H774" s="317" t="s"/>
      <c r="I774" s="318" t="s"/>
    </row>
    <row r="775" spans="8:9">
      <c r="H775" s="317" t="s"/>
      <c r="I775" s="318" t="s"/>
    </row>
    <row r="776" spans="8:9">
      <c r="H776" s="317" t="s"/>
      <c r="I776" s="318" t="s"/>
    </row>
    <row r="777" spans="8:9">
      <c r="H777" s="317" t="s"/>
      <c r="I777" s="318" t="s"/>
    </row>
    <row r="778" spans="8:9">
      <c r="H778" s="317" t="s"/>
      <c r="I778" s="318" t="s"/>
    </row>
    <row r="779" spans="8:9">
      <c r="H779" s="317" t="s"/>
      <c r="I779" s="318" t="s"/>
    </row>
    <row r="780" spans="8:9">
      <c r="H780" s="317" t="s"/>
      <c r="I780" s="318" t="s"/>
    </row>
    <row r="781" spans="8:9">
      <c r="H781" s="317" t="s"/>
      <c r="I781" s="318" t="s"/>
    </row>
    <row r="782" spans="8:9">
      <c r="H782" s="317" t="s"/>
      <c r="I782" s="318" t="s"/>
    </row>
    <row r="783" spans="8:9">
      <c r="H783" s="317" t="s"/>
      <c r="I783" s="318" t="s"/>
    </row>
    <row r="784" spans="8:9">
      <c r="H784" s="317" t="s"/>
      <c r="I784" s="318" t="s"/>
    </row>
    <row r="785" spans="8:9">
      <c r="H785" s="317" t="s"/>
      <c r="I785" s="318" t="s"/>
    </row>
    <row r="786" spans="8:9">
      <c r="H786" s="317" t="s"/>
      <c r="I786" s="318" t="s"/>
    </row>
    <row r="787" spans="8:9">
      <c r="H787" s="317" t="s"/>
      <c r="I787" s="318" t="s"/>
    </row>
    <row r="788" spans="8:9">
      <c r="H788" s="317" t="s"/>
      <c r="I788" s="318" t="s"/>
    </row>
    <row r="789" spans="8:9">
      <c r="H789" s="317" t="s"/>
      <c r="I789" s="318" t="s"/>
    </row>
    <row r="790" spans="8:9">
      <c r="H790" s="317" t="s"/>
      <c r="I790" s="318" t="s"/>
    </row>
    <row r="791" spans="8:9">
      <c r="H791" s="317" t="s"/>
      <c r="I791" s="318" t="s"/>
    </row>
    <row r="792" spans="8:9">
      <c r="H792" s="317" t="s"/>
      <c r="I792" s="318" t="s"/>
    </row>
    <row r="793" spans="8:9">
      <c r="H793" s="317" t="s"/>
      <c r="I793" s="318" t="s"/>
    </row>
    <row r="794" spans="8:9">
      <c r="H794" s="317" t="s"/>
      <c r="I794" s="318" t="s"/>
    </row>
    <row r="795" spans="8:9">
      <c r="H795" s="317" t="s"/>
      <c r="I795" s="318" t="s"/>
    </row>
    <row r="796" spans="8:9">
      <c r="H796" s="317" t="s"/>
      <c r="I796" s="318" t="s"/>
    </row>
    <row r="797" spans="8:9">
      <c r="H797" s="317" t="s"/>
      <c r="I797" s="318" t="s"/>
    </row>
    <row r="798" spans="8:9">
      <c r="H798" s="317" t="s"/>
      <c r="I798" s="318" t="s"/>
    </row>
    <row r="799" spans="8:9">
      <c r="H799" s="317" t="s"/>
      <c r="I799" s="318" t="s"/>
    </row>
    <row r="800" spans="8:9">
      <c r="H800" s="317" t="s"/>
      <c r="I800" s="318" t="s"/>
    </row>
    <row r="801" spans="8:9">
      <c r="H801" s="317" t="s"/>
      <c r="I801" s="318" t="s"/>
    </row>
    <row r="802" spans="8:9">
      <c r="H802" s="317" t="s"/>
      <c r="I802" s="318" t="s"/>
    </row>
    <row r="803" spans="8:9">
      <c r="H803" s="317" t="s"/>
      <c r="I803" s="318" t="s"/>
    </row>
    <row r="804" spans="8:9">
      <c r="H804" s="317" t="s"/>
      <c r="I804" s="318" t="s"/>
    </row>
    <row r="805" spans="8:9">
      <c r="H805" s="317" t="s"/>
      <c r="I805" s="318" t="s"/>
    </row>
    <row r="806" spans="8:9">
      <c r="H806" s="317" t="s"/>
      <c r="I806" s="318" t="s"/>
    </row>
    <row r="807" spans="8:9">
      <c r="H807" s="317" t="s"/>
      <c r="I807" s="318" t="s"/>
    </row>
    <row r="808" spans="8:9">
      <c r="H808" s="317" t="s"/>
      <c r="I808" s="318" t="s"/>
    </row>
    <row r="809" spans="8:9">
      <c r="H809" s="317" t="s"/>
      <c r="I809" s="318" t="s"/>
    </row>
    <row r="810" spans="8:9">
      <c r="H810" s="317" t="s"/>
      <c r="I810" s="318" t="s"/>
    </row>
    <row r="811" spans="8:9">
      <c r="H811" s="317" t="s"/>
      <c r="I811" s="318" t="s"/>
    </row>
    <row r="812" spans="8:9">
      <c r="H812" s="317" t="s"/>
      <c r="I812" s="318" t="s"/>
    </row>
    <row r="813" spans="8:9">
      <c r="H813" s="317" t="s"/>
      <c r="I813" s="318" t="s"/>
    </row>
    <row r="814" spans="8:9">
      <c r="H814" s="317" t="s"/>
      <c r="I814" s="318" t="s"/>
    </row>
    <row r="815" spans="8:9">
      <c r="H815" s="317" t="s"/>
      <c r="I815" s="318" t="s"/>
    </row>
    <row r="816" spans="8:9">
      <c r="H816" s="317" t="s"/>
      <c r="I816" s="318" t="s"/>
    </row>
    <row r="817" spans="8:9">
      <c r="H817" s="317" t="s"/>
      <c r="I817" s="318" t="s"/>
    </row>
    <row r="818" spans="8:9">
      <c r="H818" s="317" t="s"/>
      <c r="I818" s="318" t="s"/>
    </row>
    <row r="819" spans="8:9">
      <c r="H819" s="317" t="s"/>
      <c r="I819" s="318" t="s"/>
    </row>
    <row r="820" spans="8:9">
      <c r="H820" s="317" t="s"/>
      <c r="I820" s="318" t="s"/>
    </row>
    <row r="821" spans="8:9">
      <c r="H821" s="317" t="s"/>
      <c r="I821" s="318" t="s"/>
    </row>
    <row r="822" spans="8:9">
      <c r="H822" s="317" t="s"/>
      <c r="I822" s="318" t="s"/>
    </row>
    <row r="823" spans="8:9">
      <c r="H823" s="317" t="s"/>
      <c r="I823" s="318" t="s"/>
    </row>
    <row r="824" spans="8:9">
      <c r="H824" s="317" t="s"/>
      <c r="I824" s="318" t="s"/>
    </row>
    <row r="825" spans="8:9">
      <c r="H825" s="317" t="s"/>
      <c r="I825" s="318" t="s"/>
    </row>
    <row r="826" spans="8:9">
      <c r="H826" s="317" t="s"/>
      <c r="I826" s="318" t="s"/>
    </row>
    <row r="827" spans="8:9">
      <c r="H827" s="317" t="s"/>
      <c r="I827" s="318" t="s"/>
    </row>
    <row r="828" spans="8:9">
      <c r="H828" s="317" t="s"/>
      <c r="I828" s="318" t="s"/>
    </row>
    <row r="829" spans="8:9">
      <c r="H829" s="317" t="s"/>
      <c r="I829" s="318" t="s"/>
    </row>
    <row r="830" spans="8:9">
      <c r="H830" s="317" t="s"/>
      <c r="I830" s="318" t="s"/>
    </row>
    <row r="831" spans="8:9">
      <c r="H831" s="317" t="s"/>
      <c r="I831" s="318" t="s"/>
    </row>
    <row r="832" spans="8:9">
      <c r="H832" s="317" t="s"/>
      <c r="I832" s="318" t="s"/>
    </row>
    <row r="833" spans="8:9">
      <c r="H833" s="317" t="s"/>
      <c r="I833" s="318" t="s"/>
    </row>
    <row r="834" spans="8:9">
      <c r="H834" s="317" t="s"/>
      <c r="I834" s="318" t="s"/>
    </row>
    <row r="835" spans="8:9">
      <c r="H835" s="317" t="s"/>
      <c r="I835" s="318" t="s"/>
    </row>
    <row r="836" spans="8:9">
      <c r="H836" s="317" t="s"/>
      <c r="I836" s="318" t="s"/>
    </row>
    <row r="837" spans="8:9">
      <c r="H837" s="317" t="s"/>
      <c r="I837" s="318" t="s"/>
    </row>
    <row r="838" spans="8:9">
      <c r="H838" s="317" t="s"/>
      <c r="I838" s="318" t="s"/>
    </row>
    <row r="839" spans="8:9">
      <c r="H839" s="317" t="s"/>
      <c r="I839" s="318" t="s"/>
    </row>
    <row r="840" spans="8:9">
      <c r="H840" s="317" t="s"/>
      <c r="I840" s="318" t="s"/>
    </row>
    <row r="841" spans="8:9">
      <c r="H841" s="317" t="s"/>
      <c r="I841" s="318" t="s"/>
    </row>
    <row r="842" spans="8:9">
      <c r="H842" s="317" t="s"/>
      <c r="I842" s="318" t="s"/>
    </row>
    <row r="843" spans="8:9">
      <c r="H843" s="317" t="s"/>
      <c r="I843" s="318" t="s"/>
    </row>
    <row r="844" spans="8:9">
      <c r="H844" s="317" t="s"/>
      <c r="I844" s="318" t="s"/>
    </row>
    <row r="845" spans="8:9">
      <c r="H845" s="317" t="s"/>
      <c r="I845" s="318" t="s"/>
    </row>
    <row r="846" spans="8:9">
      <c r="H846" s="317" t="s"/>
      <c r="I846" s="318" t="s"/>
    </row>
    <row r="847" spans="8:9">
      <c r="H847" s="317" t="s"/>
      <c r="I847" s="318" t="s"/>
    </row>
    <row r="848" spans="8:9">
      <c r="H848" s="317" t="s"/>
      <c r="I848" s="318" t="s"/>
    </row>
    <row r="849" spans="8:9">
      <c r="H849" s="317" t="s"/>
      <c r="I849" s="318" t="s"/>
    </row>
    <row r="850" spans="8:9">
      <c r="H850" s="317" t="s"/>
      <c r="I850" s="318" t="s"/>
    </row>
    <row r="851" spans="8:9">
      <c r="H851" s="317" t="s"/>
      <c r="I851" s="318" t="s"/>
    </row>
    <row r="852" spans="8:9">
      <c r="H852" s="317" t="s"/>
      <c r="I852" s="318" t="s"/>
    </row>
    <row r="853" spans="8:9">
      <c r="H853" s="317" t="s"/>
      <c r="I853" s="318" t="s"/>
    </row>
    <row r="854" spans="8:9">
      <c r="H854" s="317" t="s"/>
      <c r="I854" s="318" t="s"/>
    </row>
    <row r="855" spans="8:9">
      <c r="H855" s="317" t="s"/>
      <c r="I855" s="318" t="s"/>
    </row>
    <row r="856" spans="8:9">
      <c r="H856" s="317" t="s"/>
      <c r="I856" s="318" t="s"/>
    </row>
    <row r="857" spans="8:9">
      <c r="H857" s="317" t="s"/>
      <c r="I857" s="318" t="s"/>
    </row>
    <row r="858" spans="8:9">
      <c r="H858" s="317" t="s"/>
      <c r="I858" s="318" t="s"/>
    </row>
    <row r="859" spans="8:9">
      <c r="H859" s="317" t="s"/>
      <c r="I859" s="318" t="s"/>
    </row>
    <row r="860" spans="8:9">
      <c r="H860" s="317" t="s"/>
      <c r="I860" s="318" t="s"/>
    </row>
    <row r="861" spans="8:9">
      <c r="H861" s="317" t="s"/>
      <c r="I861" s="318" t="s"/>
    </row>
    <row r="862" spans="8:9">
      <c r="H862" s="317" t="s"/>
      <c r="I862" s="318" t="s"/>
    </row>
    <row r="863" spans="8:9">
      <c r="H863" s="317" t="s"/>
      <c r="I863" s="318" t="s"/>
    </row>
    <row r="864" spans="8:9">
      <c r="H864" s="317" t="s"/>
      <c r="I864" s="318" t="s"/>
    </row>
    <row r="865" spans="8:9">
      <c r="H865" s="317" t="s"/>
      <c r="I865" s="318" t="s"/>
    </row>
    <row r="866" spans="8:9">
      <c r="H866" s="317" t="s"/>
      <c r="I866" s="318" t="s"/>
    </row>
    <row r="867" spans="8:9">
      <c r="H867" s="317" t="s"/>
      <c r="I867" s="318" t="s"/>
    </row>
    <row r="868" spans="8:9">
      <c r="H868" s="317" t="s"/>
      <c r="I868" s="318" t="s"/>
    </row>
    <row r="869" spans="8:9">
      <c r="H869" s="317" t="s"/>
      <c r="I869" s="318" t="s"/>
    </row>
    <row r="870" spans="8:9">
      <c r="H870" s="317" t="s"/>
      <c r="I870" s="318" t="s"/>
    </row>
    <row r="871" spans="8:9">
      <c r="H871" s="317" t="s"/>
      <c r="I871" s="318" t="s"/>
    </row>
    <row r="872" spans="8:9">
      <c r="H872" s="317" t="s"/>
      <c r="I872" s="318" t="s"/>
    </row>
    <row r="873" spans="8:9">
      <c r="H873" s="317" t="s"/>
      <c r="I873" s="318" t="s"/>
    </row>
    <row r="874" spans="8:9">
      <c r="H874" s="317" t="s"/>
      <c r="I874" s="318" t="s"/>
    </row>
    <row r="875" spans="8:9">
      <c r="H875" s="317" t="s"/>
      <c r="I875" s="318" t="s"/>
    </row>
    <row r="876" spans="8:9">
      <c r="H876" s="317" t="s"/>
      <c r="I876" s="318" t="s"/>
    </row>
    <row r="877" spans="8:9">
      <c r="H877" s="317" t="s"/>
      <c r="I877" s="318" t="s"/>
    </row>
    <row r="878" spans="8:9">
      <c r="H878" s="317" t="s"/>
      <c r="I878" s="318" t="s"/>
    </row>
    <row r="879" spans="8:9">
      <c r="H879" s="317" t="s"/>
      <c r="I879" s="318" t="s"/>
    </row>
    <row r="880" spans="8:9">
      <c r="H880" s="317" t="s"/>
      <c r="I880" s="318" t="s"/>
    </row>
    <row r="881" spans="8:9">
      <c r="H881" s="317" t="s"/>
      <c r="I881" s="318" t="s"/>
    </row>
    <row r="882" spans="8:9">
      <c r="H882" s="317" t="s"/>
      <c r="I882" s="318" t="s"/>
    </row>
    <row r="883" spans="8:9">
      <c r="H883" s="317" t="s"/>
      <c r="I883" s="318" t="s"/>
    </row>
    <row r="884" spans="8:9">
      <c r="H884" s="317" t="s"/>
      <c r="I884" s="318" t="s"/>
    </row>
    <row r="885" spans="8:9">
      <c r="H885" s="317" t="s"/>
      <c r="I885" s="318" t="s"/>
    </row>
    <row r="886" spans="8:9">
      <c r="H886" s="317" t="s"/>
      <c r="I886" s="318" t="s"/>
    </row>
    <row r="887" spans="8:9">
      <c r="H887" s="317" t="s"/>
      <c r="I887" s="318" t="s"/>
    </row>
    <row r="888" spans="8:9">
      <c r="H888" s="317" t="s"/>
      <c r="I888" s="318" t="s"/>
    </row>
    <row r="889" spans="8:9">
      <c r="H889" s="317" t="s"/>
      <c r="I889" s="318" t="s"/>
    </row>
    <row r="890" spans="8:9">
      <c r="H890" s="317" t="s"/>
      <c r="I890" s="318" t="s"/>
    </row>
    <row r="891" spans="8:9">
      <c r="H891" s="317" t="s"/>
      <c r="I891" s="318" t="s"/>
    </row>
    <row r="892" spans="8:9">
      <c r="H892" s="317" t="s"/>
      <c r="I892" s="318" t="s"/>
    </row>
    <row r="893" spans="8:9">
      <c r="H893" s="317" t="s"/>
      <c r="I893" s="318" t="s"/>
    </row>
    <row r="894" spans="8:9">
      <c r="H894" s="317" t="s"/>
      <c r="I894" s="318" t="s"/>
    </row>
    <row r="895" spans="8:9">
      <c r="H895" s="317" t="s"/>
      <c r="I895" s="318" t="s"/>
    </row>
    <row r="896" spans="8:9">
      <c r="H896" s="317" t="s"/>
      <c r="I896" s="318" t="s"/>
    </row>
    <row r="897" spans="8:9">
      <c r="H897" s="317" t="s"/>
      <c r="I897" s="318" t="s"/>
    </row>
    <row r="898" spans="8:9">
      <c r="H898" s="317" t="s"/>
      <c r="I898" s="318" t="s"/>
    </row>
    <row r="899" spans="8:9">
      <c r="H899" s="317" t="s"/>
      <c r="I899" s="318" t="s"/>
    </row>
    <row r="900" spans="8:9">
      <c r="H900" s="317" t="s"/>
      <c r="I900" s="318" t="s"/>
    </row>
    <row r="901" spans="8:9">
      <c r="H901" s="317" t="s"/>
      <c r="I901" s="318" t="s"/>
    </row>
    <row r="902" spans="8:9">
      <c r="H902" s="317" t="s"/>
      <c r="I902" s="318" t="s"/>
    </row>
    <row r="903" spans="8:9">
      <c r="H903" s="317" t="s"/>
      <c r="I903" s="318" t="s"/>
    </row>
    <row r="904" spans="8:9">
      <c r="H904" s="317" t="s"/>
      <c r="I904" s="318" t="s"/>
    </row>
    <row r="905" spans="8:9">
      <c r="H905" s="317" t="s"/>
      <c r="I905" s="318" t="s"/>
    </row>
    <row r="906" spans="8:9">
      <c r="H906" s="317" t="s"/>
      <c r="I906" s="318" t="s"/>
    </row>
    <row r="907" spans="8:9">
      <c r="H907" s="317" t="s"/>
      <c r="I907" s="318" t="s"/>
    </row>
    <row r="908" spans="8:9">
      <c r="H908" s="317" t="s"/>
      <c r="I908" s="318" t="s"/>
    </row>
    <row r="909" spans="8:9">
      <c r="H909" s="317" t="s"/>
      <c r="I909" s="318" t="s"/>
    </row>
    <row r="910" spans="8:9">
      <c r="H910" s="317" t="s"/>
      <c r="I910" s="318" t="s"/>
    </row>
    <row r="911" spans="8:9">
      <c r="H911" s="317" t="s"/>
      <c r="I911" s="318" t="s"/>
    </row>
    <row r="912" spans="8:9">
      <c r="H912" s="317" t="s"/>
      <c r="I912" s="318" t="s"/>
    </row>
    <row r="913" spans="8:9">
      <c r="H913" s="317" t="s"/>
      <c r="I913" s="318" t="s"/>
    </row>
    <row r="914" spans="8:9">
      <c r="H914" s="317" t="s"/>
      <c r="I914" s="318" t="s"/>
    </row>
    <row r="915" spans="8:9">
      <c r="H915" s="317" t="s"/>
      <c r="I915" s="318" t="s"/>
    </row>
    <row r="916" spans="8:9">
      <c r="H916" s="317" t="s"/>
      <c r="I916" s="318" t="s"/>
    </row>
    <row r="917" spans="8:9">
      <c r="H917" s="317" t="s"/>
      <c r="I917" s="318" t="s"/>
    </row>
    <row r="918" spans="8:9">
      <c r="H918" s="317" t="s"/>
      <c r="I918" s="318" t="s"/>
    </row>
    <row r="919" spans="8:9">
      <c r="H919" s="317" t="s"/>
      <c r="I919" s="318" t="s"/>
    </row>
    <row r="920" spans="8:9">
      <c r="H920" s="317" t="s"/>
      <c r="I920" s="318" t="s"/>
    </row>
    <row r="921" spans="8:9">
      <c r="H921" s="317" t="s"/>
      <c r="I921" s="318" t="s"/>
    </row>
    <row r="922" spans="8:9">
      <c r="H922" s="317" t="s"/>
      <c r="I922" s="318" t="s"/>
    </row>
    <row r="923" spans="8:9">
      <c r="H923" s="317" t="s"/>
      <c r="I923" s="318" t="s"/>
    </row>
    <row r="924" spans="8:9">
      <c r="H924" s="317" t="s"/>
      <c r="I924" s="318" t="s"/>
    </row>
    <row r="925" spans="8:9">
      <c r="H925" s="317" t="s"/>
      <c r="I925" s="318" t="s"/>
    </row>
    <row r="926" spans="8:9">
      <c r="H926" s="317" t="s"/>
      <c r="I926" s="318" t="s"/>
    </row>
    <row r="927" spans="8:9">
      <c r="H927" s="317" t="s"/>
      <c r="I927" s="318" t="s"/>
    </row>
    <row r="928" spans="8:9">
      <c r="H928" s="317" t="s"/>
      <c r="I928" s="318" t="s"/>
    </row>
    <row r="929" spans="8:9">
      <c r="H929" s="317" t="s"/>
      <c r="I929" s="318" t="s"/>
    </row>
    <row r="930" spans="8:9">
      <c r="H930" s="317" t="s"/>
      <c r="I930" s="318" t="s"/>
    </row>
    <row r="931" spans="8:9">
      <c r="H931" s="317" t="s"/>
      <c r="I931" s="318" t="s"/>
    </row>
    <row r="932" spans="8:9">
      <c r="H932" s="317" t="s"/>
      <c r="I932" s="318" t="s"/>
    </row>
    <row r="933" spans="8:9">
      <c r="H933" s="317" t="s"/>
      <c r="I933" s="318" t="s"/>
    </row>
    <row r="934" spans="8:9">
      <c r="H934" s="317" t="s"/>
      <c r="I934" s="318" t="s"/>
    </row>
    <row r="935" spans="8:9">
      <c r="H935" s="317" t="s"/>
      <c r="I935" s="318" t="s"/>
    </row>
    <row r="936" spans="8:9">
      <c r="H936" s="317" t="s"/>
      <c r="I936" s="318" t="s"/>
    </row>
    <row r="937" spans="8:9">
      <c r="H937" s="317" t="s"/>
      <c r="I937" s="318" t="s"/>
    </row>
    <row r="938" spans="8:9">
      <c r="H938" s="317" t="s"/>
      <c r="I938" s="318" t="s"/>
    </row>
    <row r="939" spans="8:9">
      <c r="H939" s="317" t="s"/>
      <c r="I939" s="318" t="s"/>
    </row>
    <row r="940" spans="8:9">
      <c r="H940" s="317" t="s"/>
      <c r="I940" s="318" t="s"/>
    </row>
    <row r="941" spans="8:9">
      <c r="H941" s="317" t="s"/>
      <c r="I941" s="318" t="s"/>
    </row>
    <row r="942" spans="8:9">
      <c r="H942" s="317" t="s"/>
      <c r="I942" s="318" t="s"/>
    </row>
    <row r="943" spans="8:9">
      <c r="H943" s="317" t="s"/>
      <c r="I943" s="318" t="s"/>
    </row>
    <row r="944" spans="8:9">
      <c r="H944" s="317" t="s"/>
      <c r="I944" s="318" t="s"/>
    </row>
    <row r="945" spans="8:9">
      <c r="H945" s="317" t="s"/>
      <c r="I945" s="318" t="s"/>
    </row>
    <row r="946" spans="8:9">
      <c r="H946" s="317" t="s"/>
      <c r="I946" s="318" t="s"/>
    </row>
    <row r="947" spans="8:9">
      <c r="H947" s="317" t="s"/>
      <c r="I947" s="318" t="s"/>
    </row>
    <row r="948" spans="8:9">
      <c r="H948" s="317" t="s"/>
      <c r="I948" s="318" t="s"/>
    </row>
    <row r="949" spans="8:9">
      <c r="H949" s="317" t="s"/>
      <c r="I949" s="318" t="s"/>
    </row>
    <row r="950" spans="8:9">
      <c r="H950" s="317" t="s"/>
      <c r="I950" s="318" t="s"/>
    </row>
    <row r="951" spans="8:9">
      <c r="H951" s="317" t="s"/>
      <c r="I951" s="318" t="s"/>
    </row>
    <row r="952" spans="8:9">
      <c r="H952" s="317" t="s"/>
      <c r="I952" s="318" t="s"/>
    </row>
    <row r="953" spans="8:9">
      <c r="H953" s="317" t="s"/>
      <c r="I953" s="318" t="s"/>
    </row>
    <row r="954" spans="8:9">
      <c r="H954" s="317" t="s"/>
      <c r="I954" s="318" t="s"/>
    </row>
    <row r="955" spans="8:9">
      <c r="H955" s="317" t="s"/>
      <c r="I955" s="318" t="s"/>
    </row>
    <row r="956" spans="8:9">
      <c r="H956" s="317" t="s"/>
      <c r="I956" s="318" t="s"/>
    </row>
    <row r="957" spans="8:9">
      <c r="H957" s="317" t="s"/>
      <c r="I957" s="318" t="s"/>
    </row>
    <row r="958" spans="8:9">
      <c r="H958" s="317" t="s"/>
      <c r="I958" s="318" t="s"/>
    </row>
    <row r="959" spans="8:9">
      <c r="H959" s="317" t="s"/>
      <c r="I959" s="318" t="s"/>
    </row>
    <row r="960" spans="8:9">
      <c r="H960" s="317" t="s"/>
      <c r="I960" s="318" t="s"/>
    </row>
    <row r="961" spans="8:9">
      <c r="H961" s="317" t="s"/>
      <c r="I961" s="318" t="s"/>
    </row>
    <row r="962" spans="8:9">
      <c r="H962" s="317" t="s"/>
      <c r="I962" s="318" t="s"/>
    </row>
    <row r="963" spans="8:9">
      <c r="H963" s="317" t="s"/>
      <c r="I963" s="318" t="s"/>
    </row>
    <row r="964" spans="8:9">
      <c r="H964" s="317" t="s"/>
      <c r="I964" s="318" t="s"/>
    </row>
    <row r="965" spans="8:9">
      <c r="H965" s="317" t="s"/>
      <c r="I965" s="318" t="s"/>
    </row>
    <row r="966" spans="8:9">
      <c r="H966" s="317" t="s"/>
      <c r="I966" s="318" t="s"/>
    </row>
    <row r="967" spans="8:9">
      <c r="H967" s="317" t="s"/>
      <c r="I967" s="318" t="s"/>
    </row>
    <row r="968" spans="8:9">
      <c r="H968" s="317" t="s"/>
      <c r="I968" s="318" t="s"/>
    </row>
    <row r="969" spans="8:9">
      <c r="H969" s="317" t="s"/>
      <c r="I969" s="318" t="s"/>
    </row>
    <row r="970" spans="8:9">
      <c r="H970" s="317" t="s"/>
      <c r="I970" s="318" t="s"/>
    </row>
    <row r="971" spans="8:9">
      <c r="H971" s="317" t="s"/>
      <c r="I971" s="318" t="s"/>
    </row>
    <row r="972" spans="8:9">
      <c r="H972" s="317" t="s"/>
      <c r="I972" s="318" t="s"/>
    </row>
    <row r="973" spans="8:9">
      <c r="H973" s="317" t="s"/>
      <c r="I973" s="318" t="s"/>
    </row>
    <row r="974" spans="8:9">
      <c r="H974" s="317" t="s"/>
      <c r="I974" s="318" t="s"/>
    </row>
    <row r="975" spans="8:9">
      <c r="H975" s="317" t="s"/>
      <c r="I975" s="318" t="s"/>
    </row>
    <row r="976" spans="8:9">
      <c r="H976" s="317" t="s"/>
      <c r="I976" s="318" t="s"/>
    </row>
    <row r="977" spans="8:9">
      <c r="H977" s="317" t="s"/>
      <c r="I977" s="318" t="s"/>
    </row>
    <row r="978" spans="8:9">
      <c r="H978" s="317" t="s"/>
      <c r="I978" s="318" t="s"/>
    </row>
    <row r="979" spans="8:9">
      <c r="H979" s="317" t="s"/>
      <c r="I979" s="318" t="s"/>
    </row>
    <row r="980" spans="8:9">
      <c r="H980" s="317" t="s"/>
      <c r="I980" s="318" t="s"/>
    </row>
    <row r="981" spans="8:9">
      <c r="H981" s="317" t="s"/>
      <c r="I981" s="318" t="s"/>
    </row>
    <row r="982" spans="8:9">
      <c r="H982" s="317" t="s"/>
      <c r="I982" s="318" t="s"/>
    </row>
    <row r="983" spans="8:9">
      <c r="H983" s="317" t="s"/>
      <c r="I983" s="318" t="s"/>
    </row>
    <row r="984" spans="8:9">
      <c r="H984" s="317" t="s"/>
      <c r="I984" s="318" t="s"/>
    </row>
    <row r="985" spans="8:9">
      <c r="H985" s="317" t="s"/>
      <c r="I985" s="318" t="s"/>
    </row>
    <row r="986" spans="8:9">
      <c r="H986" s="317" t="s"/>
      <c r="I986" s="318" t="s"/>
    </row>
    <row r="987" spans="8:9">
      <c r="H987" s="317" t="s"/>
      <c r="I987" s="318" t="s"/>
    </row>
    <row r="988" spans="8:9">
      <c r="H988" s="317" t="s"/>
      <c r="I988" s="318" t="s"/>
    </row>
    <row r="989" spans="8:9">
      <c r="H989" s="317" t="s"/>
      <c r="I989" s="318" t="s"/>
    </row>
    <row r="990" spans="8:9">
      <c r="H990" s="317" t="s"/>
      <c r="I990" s="318" t="s"/>
    </row>
    <row r="991" spans="8:9">
      <c r="H991" s="317" t="s"/>
      <c r="I991" s="318" t="s"/>
    </row>
    <row r="992" spans="8:9">
      <c r="H992" s="317" t="s"/>
      <c r="I992" s="318" t="s"/>
    </row>
    <row r="993" spans="8:9">
      <c r="H993" s="317" t="s"/>
      <c r="I993" s="318" t="s"/>
    </row>
    <row r="994" spans="8:9">
      <c r="H994" s="317" t="s"/>
      <c r="I994" s="318" t="s"/>
    </row>
    <row r="995" spans="8:9">
      <c r="H995" s="317" t="s"/>
      <c r="I995" s="318" t="s"/>
    </row>
    <row r="996" spans="8:9">
      <c r="H996" s="317" t="s"/>
      <c r="I996" s="318" t="s"/>
    </row>
    <row r="997" spans="8:9">
      <c r="H997" s="317" t="s"/>
      <c r="I997" s="318" t="s"/>
    </row>
    <row r="998" spans="8:9">
      <c r="H998" s="317" t="s"/>
      <c r="I998" s="318" t="s"/>
    </row>
    <row r="999" spans="8:9">
      <c r="H999" s="317" t="s"/>
      <c r="I999" s="318" t="s"/>
    </row>
    <row r="1000" spans="8:9">
      <c r="H1000" s="317" t="s"/>
      <c r="I1000" s="318" t="s"/>
    </row>
    <row r="1001" spans="8:9">
      <c r="H1001" s="317" t="s"/>
      <c r="I1001" s="318" t="s"/>
    </row>
    <row r="1002" spans="8:9">
      <c r="H1002" s="317" t="s"/>
      <c r="I1002" s="318" t="s"/>
    </row>
    <row r="1003" spans="8:9">
      <c r="H1003" s="317" t="s"/>
      <c r="I1003" s="318" t="s"/>
    </row>
    <row r="1004" spans="8:9">
      <c r="H1004" s="317" t="s"/>
      <c r="I1004" s="318" t="s"/>
    </row>
    <row r="1005" spans="8:9">
      <c r="H1005" s="317" t="s"/>
      <c r="I1005" s="318" t="s"/>
    </row>
    <row r="1006" spans="8:9">
      <c r="H1006" s="317" t="s"/>
      <c r="I1006" s="318" t="s"/>
    </row>
    <row r="1007" spans="8:9">
      <c r="H1007" s="317" t="s"/>
      <c r="I1007" s="318" t="s"/>
    </row>
    <row r="1008" spans="8:9">
      <c r="H1008" s="317" t="s"/>
      <c r="I1008" s="318" t="s"/>
    </row>
    <row r="1009" spans="8:9">
      <c r="H1009" s="317" t="s"/>
      <c r="I1009" s="318" t="s"/>
    </row>
    <row r="1010" spans="8:9">
      <c r="H1010" s="317" t="s"/>
      <c r="I1010" s="318" t="s"/>
    </row>
    <row r="1011" spans="8:9">
      <c r="H1011" s="317" t="s"/>
      <c r="I1011" s="318" t="s"/>
    </row>
    <row r="1012" spans="8:9">
      <c r="H1012" s="317" t="s"/>
      <c r="I1012" s="318" t="s"/>
    </row>
    <row r="1013" spans="8:9">
      <c r="H1013" s="317" t="s"/>
      <c r="I1013" s="318" t="s"/>
    </row>
    <row r="1014" spans="8:9">
      <c r="H1014" s="317" t="s"/>
      <c r="I1014" s="318" t="s"/>
    </row>
    <row r="1015" spans="8:9">
      <c r="H1015" s="317" t="s"/>
      <c r="I1015" s="318" t="s"/>
    </row>
    <row r="1016" spans="8:9">
      <c r="H1016" s="317" t="s"/>
      <c r="I1016" s="318" t="s"/>
    </row>
    <row r="1017" spans="8:9">
      <c r="H1017" s="317" t="s"/>
      <c r="I1017" s="318" t="s"/>
    </row>
    <row r="1018" spans="8:9">
      <c r="H1018" s="317" t="s"/>
      <c r="I1018" s="318" t="s"/>
    </row>
    <row r="1019" spans="8:9">
      <c r="H1019" s="317" t="s"/>
      <c r="I1019" s="318" t="s"/>
    </row>
    <row r="1020" spans="8:9">
      <c r="H1020" s="317" t="s"/>
      <c r="I1020" s="318" t="s"/>
    </row>
    <row r="1021" spans="8:9">
      <c r="H1021" s="317" t="s"/>
      <c r="I1021" s="318" t="s"/>
    </row>
    <row r="1022" spans="8:9">
      <c r="H1022" s="317" t="s"/>
      <c r="I1022" s="318" t="s"/>
    </row>
    <row r="1023" spans="8:9">
      <c r="H1023" s="317" t="s"/>
      <c r="I1023" s="318" t="s"/>
    </row>
    <row r="1024" spans="8:9">
      <c r="H1024" s="317" t="s"/>
      <c r="I1024" s="318" t="s"/>
    </row>
    <row r="1025" spans="8:9">
      <c r="H1025" s="317" t="s"/>
      <c r="I1025" s="318" t="s"/>
    </row>
    <row r="1026" spans="8:9">
      <c r="H1026" s="317" t="s"/>
      <c r="I1026" s="318" t="s"/>
    </row>
    <row r="1027" spans="8:9">
      <c r="H1027" s="317" t="s"/>
      <c r="I1027" s="318" t="s"/>
    </row>
    <row r="1028" spans="8:9">
      <c r="H1028" s="317" t="s"/>
      <c r="I1028" s="318" t="s"/>
    </row>
    <row r="1029" spans="8:9">
      <c r="H1029" s="317" t="s"/>
      <c r="I1029" s="318" t="s"/>
    </row>
    <row r="1030" spans="8:9">
      <c r="H1030" s="317" t="s"/>
      <c r="I1030" s="318" t="s"/>
    </row>
    <row r="1031" spans="8:9">
      <c r="H1031" s="317" t="s"/>
      <c r="I1031" s="318" t="s"/>
    </row>
    <row r="1032" spans="8:9">
      <c r="H1032" s="317" t="s"/>
      <c r="I1032" s="318" t="s"/>
    </row>
    <row r="1033" spans="8:9">
      <c r="H1033" s="317" t="s"/>
      <c r="I1033" s="318" t="s"/>
    </row>
    <row r="1034" spans="8:9">
      <c r="H1034" s="317" t="s"/>
      <c r="I1034" s="318" t="s"/>
    </row>
    <row r="1035" spans="8:9">
      <c r="H1035" s="317" t="s"/>
      <c r="I1035" s="318" t="s"/>
    </row>
    <row r="1036" spans="8:9">
      <c r="H1036" s="317" t="s"/>
      <c r="I1036" s="318" t="s"/>
    </row>
    <row r="1037" spans="8:9">
      <c r="H1037" s="317" t="s"/>
      <c r="I1037" s="318" t="s"/>
    </row>
    <row r="1038" spans="8:9">
      <c r="H1038" s="317" t="s"/>
      <c r="I1038" s="318" t="s"/>
    </row>
    <row r="1039" spans="8:9">
      <c r="H1039" s="317" t="s"/>
      <c r="I1039" s="318" t="s"/>
    </row>
    <row r="1040" spans="8:9">
      <c r="H1040" s="317" t="s"/>
      <c r="I1040" s="318" t="s"/>
    </row>
    <row r="1041" spans="8:9">
      <c r="H1041" s="317" t="s"/>
      <c r="I1041" s="318" t="s"/>
    </row>
    <row r="1042" spans="8:9">
      <c r="H1042" s="317" t="s"/>
      <c r="I1042" s="318" t="s"/>
    </row>
    <row r="1043" spans="8:9">
      <c r="H1043" s="317" t="s"/>
      <c r="I1043" s="318" t="s"/>
    </row>
    <row r="1044" spans="8:9">
      <c r="H1044" s="317" t="s"/>
      <c r="I1044" s="318" t="s"/>
    </row>
    <row r="1045" spans="8:9">
      <c r="H1045" s="317" t="s"/>
      <c r="I1045" s="318" t="s"/>
    </row>
    <row r="1046" spans="8:9">
      <c r="H1046" s="317" t="s"/>
      <c r="I1046" s="318" t="s"/>
    </row>
    <row r="1047" spans="8:9">
      <c r="H1047" s="317" t="s"/>
      <c r="I1047" s="318" t="s"/>
    </row>
    <row r="1048" spans="8:9">
      <c r="H1048" s="317" t="s"/>
      <c r="I1048" s="318" t="s"/>
    </row>
  </sheetData>
  <mergeCells count="1">
    <mergeCell ref="A1:G1"/>
  </mergeCells>
</worksheet>
</file>

<file path=xl/worksheets/sheet3.xml><?xml version="1.0" encoding="utf-8"?>
<worksheet xmlns="http://schemas.openxmlformats.org/spreadsheetml/2006/main">
  <sheetPr codeName="【拆借成本】"/>
  <dimension ref="X320"/>
  <sheetViews>
    <sheetView showGridLines="1" workbookViewId="0">
      <pane ySplit="1" topLeftCell="A2" state="frozen"/>
    </sheetView>
  </sheetViews>
  <sheetFormatPr baseColWidth="13" defaultRowHeight="18" customHeight="1"/>
  <cols>
    <col min="1" max="2" width="16.5938" style="86" customWidth="1"/>
    <col min="3" max="3" width="18.4844" style="86" customWidth="1"/>
    <col min="4" max="4" width="16.3242" style="770" customWidth="1"/>
    <col min="5" max="5" width="16.5938" style="86" customWidth="1"/>
    <col min="6" max="6" width="18.6133" style="86" customWidth="1"/>
    <col min="7" max="7" width="16.3242" style="771" customWidth="1"/>
    <col min="8" max="8" width="16.3242" style="86" hidden="1" customWidth="1"/>
    <col min="9" max="9" width="22.793" style="86" hidden="1" customWidth="1"/>
    <col min="10" max="10" width="17.9414" style="772" hidden="1" customWidth="1"/>
    <col min="11" max="11" width="23.6016" style="86" customWidth="1"/>
    <col min="12" max="12" width="28.4609" style="86" customWidth="1"/>
    <col min="13" max="22" width="13.6719" style="86"/>
  </cols>
  <sheetData>
    <row r="1" spans="1:21" ht="36.75" customHeight="1">
      <c r="A1" s="380" t="s">
        <v>265</v>
      </c>
      <c r="B1" s="381" t="s">
        <v>339</v>
      </c>
      <c r="C1" s="381" t="s">
        <v>340</v>
      </c>
      <c r="D1" s="382" t="s">
        <v>341</v>
      </c>
      <c r="E1" s="383" t="s">
        <v>342</v>
      </c>
      <c r="F1" s="383" t="s">
        <v>343</v>
      </c>
      <c r="G1" s="384" t="s">
        <v>344</v>
      </c>
      <c r="H1" s="385" t="s">
        <v>345</v>
      </c>
      <c r="I1" s="386" t="s">
        <v>346</v>
      </c>
      <c r="J1" s="387" t="s">
        <v>347</v>
      </c>
      <c r="K1" s="324" t="s">
        <v>348</v>
      </c>
      <c r="L1" s="324">
        <f>SUM(G:G)</f>
        <v>3812490.27777764</v>
      </c>
      <c r="M1" s="324" t="s"/>
      <c r="N1" s="388" t="s"/>
      <c r="O1" s="389" t="s"/>
      <c r="P1" s="389" t="s"/>
      <c r="Q1" s="389" t="s"/>
      <c r="R1" s="389" t="s"/>
      <c r="S1" s="389" t="s"/>
      <c r="T1" s="389" t="s"/>
      <c r="U1" s="389" t="s"/>
    </row>
    <row r="2" spans="1:21" ht="22.5" customHeight="1">
      <c r="A2" s="390">
        <v>46114</v>
      </c>
      <c r="B2" s="391">
        <v>7</v>
      </c>
      <c r="C2" s="392">
        <v>25000</v>
      </c>
      <c r="D2" s="393">
        <v>0.01485</v>
      </c>
      <c r="E2" s="394">
        <f>C2*10000</f>
        <v>250000000</v>
      </c>
      <c r="F2" s="395">
        <f>E2+E2*D2*B2/360</f>
        <v>250072187.5</v>
      </c>
      <c r="G2" s="396">
        <f>F2-E2</f>
        <v>72187.5</v>
      </c>
      <c r="H2" s="394" t="s"/>
      <c r="I2" s="393" t="s"/>
      <c r="J2" s="397" t="s"/>
      <c r="K2" s="86" t="s"/>
      <c r="L2" s="86" t="s"/>
      <c r="M2" s="330" t="s"/>
      <c r="N2" s="398" t="s"/>
      <c r="O2" s="86" t="s"/>
      <c r="P2" s="86" t="s"/>
      <c r="Q2" s="86" t="s"/>
      <c r="R2" s="86" t="s"/>
      <c r="S2" s="86" t="s"/>
      <c r="T2" s="86" t="s"/>
      <c r="U2" s="86" t="s"/>
    </row>
    <row r="3" spans="1:21" ht="22.5" customHeight="1">
      <c r="A3" s="390">
        <v>46114</v>
      </c>
      <c r="B3" s="391">
        <v>7</v>
      </c>
      <c r="C3" s="392">
        <v>20000</v>
      </c>
      <c r="D3" s="393">
        <v>0.0152</v>
      </c>
      <c r="E3" s="394">
        <f>C3*10000</f>
        <v>200000000</v>
      </c>
      <c r="F3" s="394">
        <f>E3+E3*D3*B3/360</f>
        <v>200059111.111111</v>
      </c>
      <c r="G3" s="396">
        <f>F3-E3</f>
        <v>59111.1111111045</v>
      </c>
      <c r="H3" s="394" t="s"/>
      <c r="I3" s="393" t="s"/>
      <c r="J3" s="397" t="s"/>
      <c r="K3" s="399" t="s"/>
      <c r="L3" s="86" t="s"/>
      <c r="M3" s="400" t="s"/>
      <c r="N3" s="401" t="s"/>
      <c r="O3" s="86" t="s"/>
      <c r="P3" s="86" t="s"/>
      <c r="Q3" s="86" t="s"/>
      <c r="R3" s="86" t="s"/>
      <c r="S3" s="86" t="s"/>
      <c r="T3" s="86" t="s"/>
      <c r="U3" s="86" t="s"/>
    </row>
    <row r="4" spans="1:21" ht="22.5" customHeight="1">
      <c r="A4" s="402">
        <v>46121</v>
      </c>
      <c r="B4" s="391">
        <v>7</v>
      </c>
      <c r="C4" s="392">
        <v>25000</v>
      </c>
      <c r="D4" s="393">
        <v>0.014</v>
      </c>
      <c r="E4" s="394">
        <f>C4*10000</f>
        <v>250000000</v>
      </c>
      <c r="F4" s="394">
        <f>E4+E4*D4*B4/360</f>
        <v>250068055.555556</v>
      </c>
      <c r="G4" s="396">
        <f>F4-E4</f>
        <v>68055.5555555523</v>
      </c>
      <c r="H4" s="394" t="s"/>
      <c r="I4" s="393" t="s"/>
      <c r="J4" s="397" t="s"/>
      <c r="K4" s="399" t="s"/>
      <c r="L4" s="86" t="s"/>
      <c r="M4" s="403" t="s"/>
      <c r="N4" s="403" t="s"/>
      <c r="O4" s="86" t="s"/>
      <c r="P4" s="86" t="s"/>
      <c r="Q4" s="86" t="s"/>
      <c r="R4" s="86" t="s"/>
      <c r="S4" s="86" t="s"/>
      <c r="T4" s="86" t="s"/>
      <c r="U4" s="86" t="s"/>
    </row>
    <row r="5" spans="1:21" ht="22.5" customHeight="1">
      <c r="A5" s="402">
        <v>46121</v>
      </c>
      <c r="B5" s="391">
        <v>7</v>
      </c>
      <c r="C5" s="392">
        <v>15000</v>
      </c>
      <c r="D5" s="393">
        <v>0.0147</v>
      </c>
      <c r="E5" s="394">
        <f>C5*10000</f>
        <v>150000000</v>
      </c>
      <c r="F5" s="394">
        <f>E5+E5*D5*B5/360</f>
        <v>150042875</v>
      </c>
      <c r="G5" s="396">
        <f>F5-E5</f>
        <v>42875</v>
      </c>
      <c r="H5" s="394" t="s"/>
      <c r="I5" s="393" t="s"/>
      <c r="J5" s="397" t="s"/>
      <c r="K5" s="399" t="s"/>
      <c r="L5" s="86" t="s"/>
      <c r="M5" s="403" t="s"/>
      <c r="N5" s="403" t="s"/>
      <c r="O5" s="86" t="s"/>
      <c r="P5" s="86" t="s"/>
      <c r="Q5" s="86" t="s"/>
      <c r="R5" s="86" t="s"/>
      <c r="S5" s="86" t="s"/>
      <c r="T5" s="86" t="s"/>
      <c r="U5" s="86" t="s"/>
    </row>
    <row r="6" spans="1:21" ht="22.5" customHeight="1">
      <c r="A6" s="402">
        <v>46128</v>
      </c>
      <c r="B6" s="391">
        <v>7</v>
      </c>
      <c r="C6" s="392">
        <v>30000</v>
      </c>
      <c r="D6" s="393">
        <v>0.0142</v>
      </c>
      <c r="E6" s="394">
        <f>C6*10000</f>
        <v>300000000</v>
      </c>
      <c r="F6" s="394">
        <f>E6+E6*D6*B6/360</f>
        <v>300082833.333333</v>
      </c>
      <c r="G6" s="396">
        <f>F6-E6</f>
        <v>82833.3333333135</v>
      </c>
      <c r="H6" s="394" t="s"/>
      <c r="I6" s="393" t="s"/>
      <c r="J6" s="397" t="s"/>
      <c r="K6" s="399" t="s"/>
      <c r="L6" s="86" t="s"/>
      <c r="M6" s="400" t="s"/>
      <c r="N6" s="403" t="s"/>
      <c r="O6" s="86" t="s"/>
      <c r="P6" s="86" t="s"/>
      <c r="Q6" s="86" t="s"/>
      <c r="R6" s="86" t="s"/>
      <c r="S6" s="86" t="s"/>
      <c r="T6" s="86" t="s"/>
      <c r="U6" s="86" t="s"/>
    </row>
    <row r="7" spans="1:21" ht="22.5" customHeight="1">
      <c r="A7" s="402">
        <v>46128</v>
      </c>
      <c r="B7" s="391">
        <v>7</v>
      </c>
      <c r="C7" s="392">
        <v>20000</v>
      </c>
      <c r="D7" s="393">
        <v>0.0147</v>
      </c>
      <c r="E7" s="394">
        <f>C7*10000</f>
        <v>200000000</v>
      </c>
      <c r="F7" s="394">
        <f>E7+E7*D7*B7/360</f>
        <v>200057166.666667</v>
      </c>
      <c r="G7" s="396">
        <f>F7-E7</f>
        <v>57166.6666666567</v>
      </c>
      <c r="H7" s="394" t="s"/>
      <c r="I7" s="393" t="s"/>
      <c r="J7" s="397" t="s"/>
      <c r="K7" s="399" t="s"/>
      <c r="L7" s="86" t="s"/>
      <c r="M7" s="400" t="s"/>
      <c r="N7" s="403" t="s"/>
      <c r="O7" s="86" t="s"/>
      <c r="P7" s="86" t="s"/>
      <c r="Q7" s="86" t="s"/>
      <c r="R7" s="86" t="s"/>
      <c r="S7" s="86" t="s"/>
      <c r="T7" s="86" t="s"/>
      <c r="U7" s="86" t="s"/>
    </row>
    <row r="8" spans="1:21" ht="22.5" customHeight="1">
      <c r="A8" s="402">
        <v>46135</v>
      </c>
      <c r="B8" s="391">
        <v>7</v>
      </c>
      <c r="C8" s="392">
        <v>30000</v>
      </c>
      <c r="D8" s="393">
        <v>0.014</v>
      </c>
      <c r="E8" s="394">
        <f>C8*10000</f>
        <v>300000000</v>
      </c>
      <c r="F8" s="394">
        <f>E8+E8*D8*B8/360</f>
        <v>300081666.666667</v>
      </c>
      <c r="G8" s="396">
        <f>F8-E8</f>
        <v>81666.6666666866</v>
      </c>
      <c r="H8" s="394" t="s"/>
      <c r="I8" s="393" t="s"/>
      <c r="J8" s="397" t="s"/>
      <c r="K8" s="399" t="s"/>
      <c r="L8" s="86" t="s"/>
      <c r="M8" s="403" t="s"/>
      <c r="N8" s="403" t="s"/>
      <c r="O8" s="86" t="s"/>
      <c r="P8" s="86" t="s"/>
      <c r="Q8" s="86" t="s"/>
      <c r="R8" s="86" t="s"/>
      <c r="S8" s="86" t="s"/>
      <c r="T8" s="86" t="s"/>
      <c r="U8" s="86" t="s"/>
    </row>
    <row r="9" spans="1:21" ht="22.5" customHeight="1">
      <c r="A9" s="402">
        <v>46135</v>
      </c>
      <c r="B9" s="391">
        <v>7</v>
      </c>
      <c r="C9" s="392">
        <v>20000</v>
      </c>
      <c r="D9" s="393">
        <v>0.014</v>
      </c>
      <c r="E9" s="394">
        <f>C9*10000</f>
        <v>200000000</v>
      </c>
      <c r="F9" s="394">
        <f>E9+E9*D9*B9/360</f>
        <v>200054444.444444</v>
      </c>
      <c r="G9" s="396">
        <f>F9-E9</f>
        <v>54444.4444444478</v>
      </c>
      <c r="H9" s="394" t="s"/>
      <c r="I9" s="393" t="s"/>
      <c r="J9" s="397" t="s"/>
      <c r="K9" s="399" t="s"/>
      <c r="L9" s="86" t="s"/>
      <c r="M9" s="403" t="s"/>
      <c r="N9" s="403" t="s"/>
      <c r="O9" s="86" t="s"/>
      <c r="P9" s="86" t="s"/>
      <c r="Q9" s="86" t="s"/>
      <c r="R9" s="86" t="s"/>
      <c r="S9" s="86" t="s"/>
      <c r="T9" s="86" t="s"/>
      <c r="U9" s="86" t="s"/>
    </row>
    <row r="10" spans="1:21" ht="22.5" customHeight="1">
      <c r="A10" s="402">
        <v>46142</v>
      </c>
      <c r="B10" s="391">
        <v>7</v>
      </c>
      <c r="C10" s="392">
        <v>30000</v>
      </c>
      <c r="D10" s="393">
        <v>0.0145</v>
      </c>
      <c r="E10" s="394">
        <f>C10*10000</f>
        <v>300000000</v>
      </c>
      <c r="F10" s="394">
        <f>E10+E10*D10*B10/360</f>
        <v>300084583.333333</v>
      </c>
      <c r="G10" s="396">
        <f>F10-E10</f>
        <v>84583.3333333135</v>
      </c>
      <c r="H10" s="394" t="s"/>
      <c r="I10" s="393" t="s"/>
      <c r="J10" s="397" t="s"/>
      <c r="K10" s="399" t="s"/>
      <c r="L10" s="86" t="s"/>
      <c r="M10" s="403" t="s"/>
      <c r="N10" s="403" t="s"/>
      <c r="O10" s="86" t="s"/>
      <c r="P10" s="86" t="s"/>
      <c r="Q10" s="86" t="s"/>
      <c r="R10" s="86" t="s"/>
      <c r="S10" s="86" t="s"/>
      <c r="T10" s="86" t="s"/>
      <c r="U10" s="86" t="s"/>
    </row>
    <row r="11" spans="1:21" ht="22.5" customHeight="1">
      <c r="A11" s="402">
        <v>46142</v>
      </c>
      <c r="B11" s="391">
        <v>7</v>
      </c>
      <c r="C11" s="392">
        <v>20000</v>
      </c>
      <c r="D11" s="393">
        <v>0.0145</v>
      </c>
      <c r="E11" s="394">
        <f>C11*10000</f>
        <v>200000000</v>
      </c>
      <c r="F11" s="394">
        <f>E11+E11*D11*B11/360</f>
        <v>200056388.888889</v>
      </c>
      <c r="G11" s="396">
        <f>F11-E11</f>
        <v>56388.8888888955</v>
      </c>
      <c r="H11" s="394" t="s"/>
      <c r="I11" s="393" t="s"/>
      <c r="J11" s="397" t="s"/>
      <c r="K11" s="399" t="s"/>
      <c r="L11" s="366" t="s"/>
      <c r="M11" s="403" t="s"/>
      <c r="N11" s="403" t="s"/>
      <c r="O11" s="86" t="s"/>
      <c r="P11" s="86" t="s"/>
      <c r="Q11" s="86" t="s"/>
      <c r="R11" s="86" t="s"/>
      <c r="S11" s="86" t="s"/>
      <c r="T11" s="86" t="s"/>
      <c r="U11" s="86" t="s"/>
    </row>
    <row r="12" spans="1:21" ht="22.5" customHeight="1">
      <c r="A12" s="402">
        <v>46149</v>
      </c>
      <c r="B12" s="391">
        <v>7</v>
      </c>
      <c r="C12" s="392">
        <v>30000</v>
      </c>
      <c r="D12" s="393">
        <v>0.0144</v>
      </c>
      <c r="E12" s="394">
        <f>C12*10000</f>
        <v>300000000</v>
      </c>
      <c r="F12" s="394">
        <f>E12+E12*D12*B12/360</f>
        <v>300084000</v>
      </c>
      <c r="G12" s="396">
        <f>F12-E12</f>
        <v>84000</v>
      </c>
      <c r="H12" s="394" t="s"/>
      <c r="I12" s="393" t="s"/>
      <c r="J12" s="397" t="s"/>
      <c r="K12" s="399" t="s"/>
      <c r="L12" s="366" t="s"/>
      <c r="M12" s="403" t="s"/>
      <c r="N12" s="403" t="s"/>
      <c r="O12" s="86" t="s"/>
      <c r="P12" s="86" t="s"/>
      <c r="Q12" s="86" t="s"/>
      <c r="R12" s="86" t="s"/>
      <c r="S12" s="86" t="s"/>
      <c r="T12" s="86" t="s"/>
      <c r="U12" s="86" t="s"/>
    </row>
    <row r="13" spans="1:21" ht="22.5" customHeight="1">
      <c r="A13" s="402">
        <v>46149</v>
      </c>
      <c r="B13" s="391">
        <v>7</v>
      </c>
      <c r="C13" s="392">
        <v>20000</v>
      </c>
      <c r="D13" s="393">
        <v>0.0144</v>
      </c>
      <c r="E13" s="394">
        <f>C13*10000</f>
        <v>200000000</v>
      </c>
      <c r="F13" s="394">
        <f>E13+E13*D13*B13/360</f>
        <v>200056000</v>
      </c>
      <c r="G13" s="396">
        <f>F13-E13</f>
        <v>56000</v>
      </c>
      <c r="H13" s="394" t="s"/>
      <c r="I13" s="393" t="s"/>
      <c r="J13" s="397" t="s"/>
      <c r="K13" s="399" t="s"/>
      <c r="L13" s="86" t="s"/>
      <c r="M13" s="404" t="s"/>
      <c r="N13" s="404" t="s"/>
      <c r="O13" s="86" t="s"/>
      <c r="P13" s="86" t="s"/>
      <c r="Q13" s="86" t="s"/>
      <c r="R13" s="86" t="s"/>
      <c r="S13" s="86" t="s"/>
      <c r="T13" s="86" t="s"/>
      <c r="U13" s="86" t="s"/>
    </row>
    <row r="14" spans="1:21" ht="22.5" customHeight="1">
      <c r="A14" s="402">
        <v>46156</v>
      </c>
      <c r="B14" s="391">
        <v>7</v>
      </c>
      <c r="C14" s="392">
        <v>20000</v>
      </c>
      <c r="D14" s="393">
        <v>0.01365</v>
      </c>
      <c r="E14" s="394">
        <f>C14*10000</f>
        <v>200000000</v>
      </c>
      <c r="F14" s="394">
        <f>E14+E14*D14*B14/360</f>
        <v>200053083.333333</v>
      </c>
      <c r="G14" s="396">
        <f>F14-E14</f>
        <v>53083.3333333433</v>
      </c>
      <c r="H14" s="394" t="s"/>
      <c r="I14" s="393" t="s"/>
      <c r="J14" s="397" t="s"/>
      <c r="K14" s="399" t="s"/>
      <c r="L14" s="86" t="s"/>
      <c r="M14" s="404" t="s"/>
      <c r="N14" s="404" t="s"/>
      <c r="O14" s="86" t="s"/>
      <c r="P14" s="86" t="s"/>
      <c r="Q14" s="86" t="s"/>
      <c r="R14" s="86" t="s"/>
      <c r="S14" s="86" t="s"/>
      <c r="T14" s="86" t="s"/>
      <c r="U14" s="86" t="s"/>
    </row>
    <row r="15" spans="1:24" ht="22.5" customHeight="1">
      <c r="A15" s="402">
        <v>46156</v>
      </c>
      <c r="B15" s="391">
        <v>7</v>
      </c>
      <c r="C15" s="392">
        <v>20000</v>
      </c>
      <c r="D15" s="393">
        <v>0.01365</v>
      </c>
      <c r="E15" s="394">
        <f>C15*10000</f>
        <v>200000000</v>
      </c>
      <c r="F15" s="394">
        <f>E15+E15*D15*B15/360</f>
        <v>200053083.333333</v>
      </c>
      <c r="G15" s="396">
        <f>F15-E15</f>
        <v>53083.3333333433</v>
      </c>
      <c r="H15" s="394" t="s"/>
      <c r="I15" s="393" t="s"/>
      <c r="J15" s="397" t="s"/>
      <c r="K15" s="399" t="s"/>
      <c r="L15" s="86" t="s"/>
      <c r="M15" s="86" t="s"/>
      <c r="N15" s="86" t="s"/>
      <c r="O15" s="86" t="s"/>
      <c r="P15" s="86" t="s"/>
      <c r="Q15" s="86" t="s"/>
      <c r="R15" s="86" t="s"/>
      <c r="S15" s="86" t="s"/>
      <c r="T15" s="86" t="s"/>
      <c r="U15" s="86" t="s"/>
      <c r="V15" s="86" t="s"/>
      <c r="W15" s="86" t="s"/>
      <c r="X15" s="86" t="s"/>
    </row>
    <row r="16" spans="1:23" ht="22.5" customHeight="1">
      <c r="A16" s="402">
        <v>46160</v>
      </c>
      <c r="B16" s="391">
        <v>3</v>
      </c>
      <c r="C16" s="392">
        <v>10000</v>
      </c>
      <c r="D16" s="393">
        <v>0.0139</v>
      </c>
      <c r="E16" s="394">
        <f>C16*10000</f>
        <v>100000000</v>
      </c>
      <c r="F16" s="394">
        <f>E16+E16*D16*B16/360</f>
        <v>100011583.333333</v>
      </c>
      <c r="G16" s="396">
        <f>F16-E16</f>
        <v>11583.3333333284</v>
      </c>
      <c r="H16" s="394" t="s"/>
      <c r="I16" s="393" t="s"/>
      <c r="J16" s="397" t="s"/>
      <c r="K16" s="401" t="s"/>
      <c r="L16" s="86" t="s"/>
      <c r="M16" s="86" t="s"/>
      <c r="N16" s="86" t="s"/>
      <c r="O16" s="86" t="s"/>
      <c r="P16" s="86" t="s"/>
      <c r="Q16" s="86" t="s"/>
      <c r="R16" s="86" t="s"/>
      <c r="S16" s="86" t="s"/>
      <c r="T16" s="86" t="s"/>
      <c r="U16" s="86" t="s"/>
      <c r="V16" s="86" t="s"/>
      <c r="W16" s="86" t="s"/>
    </row>
    <row r="17" spans="1:24" ht="22.5" customHeight="1">
      <c r="A17" s="402">
        <v>46163</v>
      </c>
      <c r="B17" s="391">
        <v>7</v>
      </c>
      <c r="C17" s="392">
        <v>20000</v>
      </c>
      <c r="D17" s="393">
        <v>0.0139</v>
      </c>
      <c r="E17" s="394">
        <f>C17*10000</f>
        <v>200000000</v>
      </c>
      <c r="F17" s="394">
        <f>E17+E17*D17*B17/360</f>
        <v>200054055.555556</v>
      </c>
      <c r="G17" s="396">
        <f>F17-E17</f>
        <v>54055.5555555523</v>
      </c>
      <c r="H17" s="394" t="s"/>
      <c r="I17" s="393" t="s"/>
      <c r="J17" s="397" t="s"/>
      <c r="K17" s="399" t="s"/>
      <c r="L17" s="86" t="s"/>
      <c r="M17" s="86" t="s"/>
      <c r="N17" s="86" t="s"/>
      <c r="O17" s="86" t="s"/>
      <c r="P17" s="86" t="s"/>
      <c r="Q17" s="86" t="s"/>
      <c r="R17" s="86" t="s"/>
      <c r="S17" s="86" t="s"/>
      <c r="T17" s="86" t="s"/>
      <c r="U17" s="86" t="s"/>
      <c r="V17" s="86" t="s"/>
      <c r="W17" s="86" t="s"/>
      <c r="X17" s="86" t="s"/>
    </row>
    <row r="18" spans="1:24" ht="22.5" customHeight="1">
      <c r="A18" s="402">
        <v>46163</v>
      </c>
      <c r="B18" s="391">
        <v>7</v>
      </c>
      <c r="C18" s="392">
        <v>30000</v>
      </c>
      <c r="D18" s="393">
        <v>0.0139</v>
      </c>
      <c r="E18" s="394">
        <f>C18*10000</f>
        <v>300000000</v>
      </c>
      <c r="F18" s="394">
        <f>E18+E18*D18*B18/360</f>
        <v>300081083.333333</v>
      </c>
      <c r="G18" s="396">
        <f>F18-E18</f>
        <v>81083.3333333135</v>
      </c>
      <c r="H18" s="394" t="s"/>
      <c r="I18" s="393" t="s"/>
      <c r="J18" s="397" t="s"/>
      <c r="K18" s="399" t="s"/>
      <c r="L18" s="86" t="s"/>
      <c r="M18" s="86" t="s"/>
      <c r="N18" s="86" t="s"/>
      <c r="O18" s="86" t="s"/>
      <c r="P18" s="86" t="s"/>
      <c r="Q18" s="86" t="s"/>
      <c r="R18" s="86" t="s"/>
      <c r="S18" s="86" t="s"/>
      <c r="T18" s="86" t="s"/>
      <c r="U18" s="86" t="s"/>
      <c r="V18" s="86" t="s"/>
      <c r="W18" s="86" t="s"/>
      <c r="X18" s="86" t="s"/>
    </row>
    <row r="19" spans="1:24" ht="22.5" customHeight="1">
      <c r="A19" s="402">
        <v>46170</v>
      </c>
      <c r="B19" s="391">
        <v>7</v>
      </c>
      <c r="C19" s="392">
        <v>20000</v>
      </c>
      <c r="D19" s="393">
        <v>0.0142</v>
      </c>
      <c r="E19" s="394">
        <f>C19*10000</f>
        <v>200000000</v>
      </c>
      <c r="F19" s="394">
        <f>E19+E19*D19*B19/360</f>
        <v>200055222.222222</v>
      </c>
      <c r="G19" s="396">
        <f>F19-E19</f>
        <v>55222.222222209</v>
      </c>
      <c r="H19" s="394" t="s"/>
      <c r="I19" s="393" t="s"/>
      <c r="J19" s="397" t="s"/>
      <c r="K19" s="399" t="s"/>
      <c r="L19" s="86" t="s"/>
      <c r="M19" s="86" t="s"/>
      <c r="N19" s="86" t="s"/>
      <c r="O19" s="86" t="s"/>
      <c r="P19" s="86" t="s"/>
      <c r="Q19" s="86" t="s"/>
      <c r="R19" s="86" t="s"/>
      <c r="S19" s="86" t="s"/>
      <c r="T19" s="86" t="s"/>
      <c r="U19" s="86" t="s"/>
      <c r="V19" s="86" t="s"/>
      <c r="W19" s="86" t="s"/>
      <c r="X19" s="86" t="s"/>
    </row>
    <row r="20" spans="1:24" ht="22.5" customHeight="1">
      <c r="A20" s="402">
        <v>46170</v>
      </c>
      <c r="B20" s="391">
        <v>7</v>
      </c>
      <c r="C20" s="392">
        <v>30000</v>
      </c>
      <c r="D20" s="393">
        <v>0.0142</v>
      </c>
      <c r="E20" s="394">
        <f>C20*10000</f>
        <v>300000000</v>
      </c>
      <c r="F20" s="394">
        <f>E20+E20*D20*B20/360</f>
        <v>300082833.333333</v>
      </c>
      <c r="G20" s="396">
        <f>F20-E20</f>
        <v>82833.3333333135</v>
      </c>
      <c r="H20" s="394" t="s"/>
      <c r="I20" s="393" t="s"/>
      <c r="J20" s="397" t="s"/>
      <c r="K20" s="399" t="s"/>
      <c r="L20" s="86" t="s"/>
      <c r="M20" s="86" t="s"/>
      <c r="N20" s="86" t="s"/>
      <c r="O20" s="86" t="s"/>
      <c r="P20" s="86" t="s"/>
      <c r="Q20" s="86" t="s"/>
      <c r="R20" s="86" t="s"/>
      <c r="S20" s="86" t="s"/>
      <c r="T20" s="86" t="s"/>
      <c r="U20" s="86" t="s"/>
      <c r="V20" s="86" t="s"/>
      <c r="W20" s="86" t="s"/>
      <c r="X20" s="86" t="s"/>
    </row>
    <row r="21" spans="1:24" ht="22.5" customHeight="1">
      <c r="A21" s="402">
        <v>46177</v>
      </c>
      <c r="B21" s="391">
        <v>7</v>
      </c>
      <c r="C21" s="392">
        <v>20000</v>
      </c>
      <c r="D21" s="393">
        <v>0.0141</v>
      </c>
      <c r="E21" s="394">
        <f>C21*10000</f>
        <v>200000000</v>
      </c>
      <c r="F21" s="394">
        <f>E21+E21*D21*B21/360</f>
        <v>200054833.333333</v>
      </c>
      <c r="G21" s="396">
        <f>F21-E21</f>
        <v>54833.3333333433</v>
      </c>
      <c r="H21" s="394" t="s"/>
      <c r="I21" s="393" t="s"/>
      <c r="J21" s="397" t="s"/>
      <c r="K21" s="399" t="s"/>
      <c r="L21" s="86" t="s"/>
      <c r="M21" s="86" t="s"/>
      <c r="N21" s="86" t="s"/>
      <c r="O21" s="86" t="s"/>
      <c r="P21" s="86" t="s"/>
      <c r="Q21" s="86" t="s"/>
      <c r="R21" s="86" t="s"/>
      <c r="S21" s="86" t="s"/>
      <c r="T21" s="86" t="s"/>
      <c r="U21" s="86" t="s"/>
      <c r="V21" s="86" t="s"/>
      <c r="W21" s="86" t="s"/>
      <c r="X21" s="86" t="s"/>
    </row>
    <row r="22" spans="1:24" ht="22.5" customHeight="1">
      <c r="A22" s="402">
        <v>46177</v>
      </c>
      <c r="B22" s="391">
        <v>7</v>
      </c>
      <c r="C22" s="392">
        <v>30000</v>
      </c>
      <c r="D22" s="393">
        <v>0.0141</v>
      </c>
      <c r="E22" s="394">
        <f>C22*10000</f>
        <v>300000000</v>
      </c>
      <c r="F22" s="394">
        <f>E22+E22*D22*B22/360</f>
        <v>300082250</v>
      </c>
      <c r="G22" s="396">
        <f>F22-E22</f>
        <v>82250</v>
      </c>
      <c r="H22" s="366" t="s"/>
      <c r="I22" s="405" t="s"/>
      <c r="J22" s="406" t="s"/>
      <c r="K22" s="399" t="s"/>
      <c r="L22" s="86" t="s"/>
      <c r="M22" s="86" t="s"/>
      <c r="N22" s="86" t="s"/>
      <c r="O22" s="86" t="s"/>
      <c r="P22" s="86" t="s"/>
      <c r="Q22" s="86" t="s"/>
      <c r="R22" s="86" t="s"/>
      <c r="S22" s="86" t="s"/>
      <c r="T22" s="86" t="s"/>
      <c r="U22" s="86" t="s"/>
      <c r="V22" s="86" t="s"/>
      <c r="W22" s="86" t="s"/>
      <c r="X22" s="86" t="s"/>
    </row>
    <row r="23" spans="1:24" ht="22.5" customHeight="1">
      <c r="A23" s="402">
        <v>46184</v>
      </c>
      <c r="B23" s="391">
        <v>7</v>
      </c>
      <c r="C23" s="392">
        <v>20000</v>
      </c>
      <c r="D23" s="393">
        <v>0.015</v>
      </c>
      <c r="E23" s="394">
        <f>C23*10000</f>
        <v>200000000</v>
      </c>
      <c r="F23" s="394">
        <f>E23+E23*D23*B23/360</f>
        <v>200058333.333333</v>
      </c>
      <c r="G23" s="396">
        <f>F23-E23</f>
        <v>58333.3333333433</v>
      </c>
      <c r="H23" s="366" t="s"/>
      <c r="I23" s="405" t="s"/>
      <c r="J23" s="406" t="s"/>
      <c r="K23" s="399" t="s"/>
      <c r="L23" s="86" t="s"/>
      <c r="M23" s="86" t="s"/>
      <c r="N23" s="86" t="s"/>
      <c r="O23" s="86" t="s"/>
      <c r="P23" s="86" t="s"/>
      <c r="Q23" s="86" t="s"/>
      <c r="R23" s="86" t="s"/>
      <c r="S23" s="86" t="s"/>
      <c r="T23" s="86" t="s"/>
      <c r="U23" s="86" t="s"/>
      <c r="V23" s="86" t="s"/>
      <c r="W23" s="86" t="s"/>
      <c r="X23" s="86" t="s"/>
    </row>
    <row r="24" spans="1:24" ht="22.5" customHeight="1">
      <c r="A24" s="402">
        <v>46184</v>
      </c>
      <c r="B24" s="391">
        <v>7</v>
      </c>
      <c r="C24" s="392">
        <v>30000</v>
      </c>
      <c r="D24" s="393">
        <v>0.015</v>
      </c>
      <c r="E24" s="394">
        <f>C24*10000</f>
        <v>300000000</v>
      </c>
      <c r="F24" s="394">
        <f>E24+E24*D24*B24/360</f>
        <v>300087500</v>
      </c>
      <c r="G24" s="396">
        <f>F24-E24</f>
        <v>87500</v>
      </c>
      <c r="H24" s="366" t="s"/>
      <c r="I24" s="405" t="s"/>
      <c r="J24" s="406" t="s"/>
      <c r="K24" s="399" t="s"/>
      <c r="L24" s="86" t="s"/>
      <c r="M24" s="86" t="s"/>
      <c r="N24" s="86" t="s"/>
      <c r="O24" s="86" t="s"/>
      <c r="P24" s="86" t="s"/>
      <c r="Q24" s="86" t="s"/>
      <c r="R24" s="86" t="s"/>
      <c r="S24" s="86" t="s"/>
      <c r="T24" s="86" t="s"/>
      <c r="U24" s="86" t="s"/>
      <c r="V24" s="86" t="s"/>
      <c r="W24" s="86" t="s"/>
      <c r="X24" s="86" t="s"/>
    </row>
    <row r="25" spans="1:24" ht="22.5" customHeight="1">
      <c r="A25" s="402">
        <v>46191</v>
      </c>
      <c r="B25" s="391">
        <v>7</v>
      </c>
      <c r="C25" s="392">
        <v>20000</v>
      </c>
      <c r="D25" s="393">
        <v>0.0152</v>
      </c>
      <c r="E25" s="394">
        <f>C25*10000</f>
        <v>200000000</v>
      </c>
      <c r="F25" s="394">
        <f>E25+E25*D25*B25/360</f>
        <v>200059111.111111</v>
      </c>
      <c r="G25" s="396">
        <f>F25-E25</f>
        <v>59111.1111111045</v>
      </c>
      <c r="H25" s="366" t="s"/>
      <c r="I25" s="405" t="s"/>
      <c r="J25" s="406" t="s"/>
      <c r="K25" s="399" t="s"/>
      <c r="L25" s="86" t="s"/>
      <c r="M25" s="86" t="s"/>
      <c r="N25" s="86" t="s"/>
      <c r="O25" s="86" t="s"/>
      <c r="P25" s="86" t="s"/>
      <c r="Q25" s="86" t="s"/>
      <c r="R25" s="86" t="s"/>
      <c r="S25" s="86" t="s"/>
      <c r="T25" s="86" t="s"/>
      <c r="U25" s="86" t="s"/>
      <c r="V25" s="86" t="s"/>
      <c r="W25" s="86" t="s"/>
      <c r="X25" s="86" t="s"/>
    </row>
    <row r="26" spans="1:24" ht="22.5" customHeight="1">
      <c r="A26" s="402">
        <v>46191</v>
      </c>
      <c r="B26" s="391">
        <v>7</v>
      </c>
      <c r="C26" s="392">
        <v>30000</v>
      </c>
      <c r="D26" s="393">
        <v>0.0152</v>
      </c>
      <c r="E26" s="394">
        <f>C26*10000</f>
        <v>300000000</v>
      </c>
      <c r="F26" s="394">
        <f>E26+E26*D26*B26/360</f>
        <v>300088666.666667</v>
      </c>
      <c r="G26" s="396">
        <f>F26-E26</f>
        <v>88666.6666666866</v>
      </c>
      <c r="H26" s="366" t="s"/>
      <c r="I26" s="405" t="s"/>
      <c r="J26" s="406" t="s"/>
      <c r="K26" s="399" t="s"/>
      <c r="L26" s="86" t="s"/>
      <c r="M26" s="86" t="s"/>
      <c r="N26" s="86" t="s"/>
      <c r="O26" s="86" t="s"/>
      <c r="P26" s="86" t="s"/>
      <c r="Q26" s="86" t="s"/>
      <c r="R26" s="86" t="s"/>
      <c r="S26" s="86" t="s"/>
      <c r="T26" s="86" t="s"/>
      <c r="U26" s="86" t="s"/>
      <c r="V26" s="86" t="s"/>
      <c r="W26" s="86" t="s"/>
      <c r="X26" s="86" t="s"/>
    </row>
    <row r="27" spans="1:24" ht="22.5" customHeight="1">
      <c r="A27" s="402">
        <v>46198</v>
      </c>
      <c r="B27" s="391">
        <v>7</v>
      </c>
      <c r="C27" s="392">
        <v>20000</v>
      </c>
      <c r="D27" s="393">
        <v>0.0156</v>
      </c>
      <c r="E27" s="394">
        <f>C27*10000</f>
        <v>200000000</v>
      </c>
      <c r="F27" s="394">
        <f>E27+E27*D27*B27/360</f>
        <v>200060666.666667</v>
      </c>
      <c r="G27" s="396">
        <f>F27-E27</f>
        <v>60666.6666666567</v>
      </c>
      <c r="H27" s="366" t="s"/>
      <c r="I27" s="405" t="s"/>
      <c r="J27" s="406" t="s"/>
      <c r="K27" s="399" t="s"/>
      <c r="L27" s="86" t="s"/>
      <c r="M27" s="86" t="s"/>
      <c r="N27" s="86" t="s"/>
      <c r="O27" s="86" t="s"/>
      <c r="P27" s="86" t="s"/>
      <c r="Q27" s="86" t="s"/>
      <c r="R27" s="86" t="s"/>
      <c r="S27" s="86" t="s"/>
      <c r="T27" s="86" t="s"/>
      <c r="U27" s="86" t="s"/>
      <c r="V27" s="86" t="s"/>
      <c r="W27" s="86" t="s"/>
      <c r="X27" s="86" t="s"/>
    </row>
    <row r="28" spans="1:24" ht="22.5" customHeight="1">
      <c r="A28" s="402">
        <v>46198</v>
      </c>
      <c r="B28" s="391">
        <v>7</v>
      </c>
      <c r="C28" s="392">
        <v>30000</v>
      </c>
      <c r="D28" s="393">
        <v>0.0156</v>
      </c>
      <c r="E28" s="394">
        <f>C28*10000</f>
        <v>300000000</v>
      </c>
      <c r="F28" s="394">
        <f>E28+E28*D28*B28/360</f>
        <v>300091000</v>
      </c>
      <c r="G28" s="396">
        <f>F28-E28</f>
        <v>91000</v>
      </c>
      <c r="H28" s="366" t="s"/>
      <c r="I28" s="405" t="s"/>
      <c r="J28" s="406" t="s"/>
      <c r="K28" s="399" t="s"/>
      <c r="L28" s="86" t="s"/>
      <c r="M28" s="86" t="s"/>
      <c r="N28" s="86" t="s"/>
      <c r="O28" s="86" t="s"/>
      <c r="P28" s="86" t="s"/>
      <c r="Q28" s="86" t="s"/>
      <c r="R28" s="86" t="s"/>
      <c r="S28" s="86" t="s"/>
      <c r="T28" s="86" t="s"/>
      <c r="U28" s="86" t="s"/>
      <c r="V28" s="86" t="s"/>
      <c r="W28" s="86" t="s"/>
      <c r="X28" s="86" t="s"/>
    </row>
    <row r="29" spans="1:24" ht="22.5" customHeight="1">
      <c r="A29" s="402">
        <v>46205</v>
      </c>
      <c r="B29" s="391">
        <v>7</v>
      </c>
      <c r="C29" s="392">
        <v>20000</v>
      </c>
      <c r="D29" s="407">
        <v>0.0147</v>
      </c>
      <c r="E29" s="394">
        <f>C29*10000</f>
        <v>200000000</v>
      </c>
      <c r="F29" s="394">
        <f>E29+E29*D29*B29/360</f>
        <v>200057166.666667</v>
      </c>
      <c r="G29" s="396">
        <f>F29-E29</f>
        <v>57166.6666666567</v>
      </c>
      <c r="H29" s="366" t="s"/>
      <c r="I29" s="405" t="s"/>
      <c r="J29" s="406" t="s"/>
      <c r="K29" s="399" t="s"/>
      <c r="L29" s="86" t="s"/>
      <c r="M29" s="86" t="s"/>
      <c r="N29" s="86" t="s"/>
      <c r="O29" s="86" t="s"/>
      <c r="P29" s="86" t="s"/>
      <c r="Q29" s="86" t="s"/>
      <c r="R29" s="86" t="s"/>
      <c r="S29" s="86" t="s"/>
      <c r="T29" s="86" t="s"/>
      <c r="U29" s="86" t="s"/>
      <c r="V29" s="86" t="s"/>
      <c r="W29" s="86" t="s"/>
      <c r="X29" s="86" t="s"/>
    </row>
    <row r="30" spans="1:24" ht="22.5" customHeight="1">
      <c r="A30" s="402">
        <v>46205</v>
      </c>
      <c r="B30" s="391">
        <v>7</v>
      </c>
      <c r="C30" s="392">
        <v>30000</v>
      </c>
      <c r="D30" s="407">
        <v>0.0147</v>
      </c>
      <c r="E30" s="394">
        <f>C30*10000</f>
        <v>300000000</v>
      </c>
      <c r="F30" s="394">
        <f>E30+E30*D30*B30/360</f>
        <v>300085750</v>
      </c>
      <c r="G30" s="396">
        <f>F30-E30</f>
        <v>85750</v>
      </c>
      <c r="H30" s="366" t="s"/>
      <c r="I30" s="405" t="s"/>
      <c r="J30" s="406" t="s"/>
      <c r="K30" s="399" t="s"/>
      <c r="L30" s="86" t="s"/>
      <c r="M30" s="86" t="s"/>
      <c r="N30" s="86" t="s"/>
      <c r="O30" s="86" t="s"/>
      <c r="P30" s="86" t="s"/>
      <c r="Q30" s="86" t="s"/>
      <c r="R30" s="86" t="s"/>
      <c r="S30" s="86" t="s"/>
      <c r="T30" s="86" t="s"/>
      <c r="U30" s="86" t="s"/>
      <c r="V30" s="86" t="s"/>
      <c r="W30" s="86" t="s"/>
      <c r="X30" s="86" t="s"/>
    </row>
    <row r="31" spans="1:24" ht="22.5" customHeight="1">
      <c r="A31" s="402">
        <v>46212</v>
      </c>
      <c r="B31" s="391">
        <v>7</v>
      </c>
      <c r="C31" s="392">
        <v>20000</v>
      </c>
      <c r="D31" s="407">
        <v>0.0141</v>
      </c>
      <c r="E31" s="394">
        <f>C31*10000</f>
        <v>200000000</v>
      </c>
      <c r="F31" s="394">
        <f>E31+E31*D31*B31/360</f>
        <v>200054833.333333</v>
      </c>
      <c r="G31" s="396">
        <f>F31-E31</f>
        <v>54833.3333333433</v>
      </c>
      <c r="H31" s="366" t="s"/>
      <c r="I31" s="405" t="s"/>
      <c r="J31" s="406" t="s"/>
      <c r="K31" s="399" t="s"/>
      <c r="L31" s="86" t="s"/>
      <c r="M31" s="86" t="s"/>
      <c r="N31" s="86" t="s"/>
      <c r="O31" s="86" t="s"/>
      <c r="P31" s="86" t="s"/>
      <c r="Q31" s="86" t="s"/>
      <c r="R31" s="86" t="s"/>
      <c r="S31" s="86" t="s"/>
      <c r="T31" s="86" t="s"/>
      <c r="U31" s="86" t="s"/>
      <c r="V31" s="86" t="s"/>
      <c r="W31" s="86" t="s"/>
      <c r="X31" s="86" t="s"/>
    </row>
    <row r="32" spans="1:24" ht="22.5" customHeight="1">
      <c r="A32" s="402">
        <v>46212</v>
      </c>
      <c r="B32" s="391">
        <v>7</v>
      </c>
      <c r="C32" s="392">
        <v>30000</v>
      </c>
      <c r="D32" s="407">
        <v>0.0141</v>
      </c>
      <c r="E32" s="394">
        <f>C32*10000</f>
        <v>300000000</v>
      </c>
      <c r="F32" s="394">
        <f>E32+E32*D32*B32/360</f>
        <v>300082250</v>
      </c>
      <c r="G32" s="396">
        <f>F32-E32</f>
        <v>82250</v>
      </c>
      <c r="H32" s="366" t="s"/>
      <c r="I32" s="405" t="s"/>
      <c r="J32" s="406" t="s"/>
      <c r="K32" s="399" t="s"/>
      <c r="L32" s="86" t="s"/>
      <c r="M32" s="86" t="s"/>
      <c r="N32" s="86" t="s"/>
      <c r="O32" s="86" t="s"/>
      <c r="P32" s="86" t="s"/>
      <c r="Q32" s="86" t="s"/>
      <c r="R32" s="86" t="s"/>
      <c r="S32" s="86" t="s"/>
      <c r="T32" s="86" t="s"/>
      <c r="U32" s="86" t="s"/>
      <c r="V32" s="86" t="s"/>
      <c r="W32" s="86" t="s"/>
      <c r="X32" s="86" t="s"/>
    </row>
    <row r="33" spans="1:24" ht="22.5" customHeight="1">
      <c r="A33" s="402">
        <v>46219</v>
      </c>
      <c r="B33" s="391">
        <v>7</v>
      </c>
      <c r="C33" s="392">
        <v>20000</v>
      </c>
      <c r="D33" s="407">
        <v>0.0147</v>
      </c>
      <c r="E33" s="394">
        <f>C33*10000</f>
        <v>200000000</v>
      </c>
      <c r="F33" s="394">
        <f>E33+E33*D33*B33/360</f>
        <v>200057166.666667</v>
      </c>
      <c r="G33" s="396">
        <f>F33-E33</f>
        <v>57166.6666666567</v>
      </c>
      <c r="H33" s="366" t="s"/>
      <c r="I33" s="405" t="s"/>
      <c r="J33" s="406" t="s"/>
      <c r="K33" s="399" t="s"/>
      <c r="L33" s="86" t="s"/>
      <c r="M33" s="86" t="s"/>
      <c r="N33" s="86" t="s"/>
      <c r="O33" s="86" t="s"/>
      <c r="P33" s="86" t="s"/>
      <c r="Q33" s="86" t="s"/>
      <c r="R33" s="86" t="s"/>
      <c r="S33" s="86" t="s"/>
      <c r="T33" s="86" t="s"/>
      <c r="U33" s="86" t="s"/>
      <c r="V33" s="86" t="s"/>
      <c r="W33" s="86" t="s"/>
      <c r="X33" s="86" t="s"/>
    </row>
    <row r="34" spans="1:24" ht="22.5" customHeight="1">
      <c r="A34" s="402">
        <v>46219</v>
      </c>
      <c r="B34" s="391">
        <v>7</v>
      </c>
      <c r="C34" s="392">
        <v>30000</v>
      </c>
      <c r="D34" s="407">
        <v>0.0147</v>
      </c>
      <c r="E34" s="394">
        <f>C34*10000</f>
        <v>300000000</v>
      </c>
      <c r="F34" s="394">
        <f>E34+E34*D34*B34/360</f>
        <v>300085750</v>
      </c>
      <c r="G34" s="396">
        <f>F34-E34</f>
        <v>85750</v>
      </c>
      <c r="H34" s="366" t="s"/>
      <c r="I34" s="405" t="s"/>
      <c r="J34" s="406" t="s"/>
      <c r="K34" s="399" t="s"/>
      <c r="L34" s="86" t="s"/>
      <c r="M34" s="86" t="s"/>
      <c r="N34" s="86" t="s"/>
      <c r="O34" s="86" t="s"/>
      <c r="P34" s="86" t="s"/>
      <c r="Q34" s="86" t="s"/>
      <c r="R34" s="86" t="s"/>
      <c r="S34" s="86" t="s"/>
      <c r="T34" s="86" t="s"/>
      <c r="U34" s="86" t="s"/>
      <c r="V34" s="86" t="s"/>
      <c r="W34" s="86" t="s"/>
      <c r="X34" s="86" t="s"/>
    </row>
    <row r="35" spans="1:24" ht="22.5" customHeight="1">
      <c r="A35" s="402">
        <v>46226</v>
      </c>
      <c r="B35" s="391">
        <v>7</v>
      </c>
      <c r="C35" s="392">
        <v>20000</v>
      </c>
      <c r="D35" s="407">
        <v>0.0142</v>
      </c>
      <c r="E35" s="394">
        <f>C35*10000</f>
        <v>200000000</v>
      </c>
      <c r="F35" s="394">
        <f>E35+E35*D35*B35/360</f>
        <v>200055222.222222</v>
      </c>
      <c r="G35" s="396">
        <f>F35-E35</f>
        <v>55222.222222209</v>
      </c>
      <c r="H35" s="366" t="s"/>
      <c r="I35" s="405" t="s"/>
      <c r="J35" s="406" t="s"/>
      <c r="K35" s="399" t="s"/>
      <c r="L35" s="86" t="s"/>
      <c r="M35" s="86" t="s"/>
      <c r="N35" s="86" t="s"/>
      <c r="O35" s="86" t="s"/>
      <c r="P35" s="86" t="s"/>
      <c r="Q35" s="86" t="s"/>
      <c r="R35" s="86" t="s"/>
      <c r="S35" s="86" t="s"/>
      <c r="T35" s="86" t="s"/>
      <c r="U35" s="86" t="s"/>
      <c r="V35" s="86" t="s"/>
      <c r="W35" s="86" t="s"/>
      <c r="X35" s="86" t="s"/>
    </row>
    <row r="36" spans="1:24" ht="22.5" customHeight="1">
      <c r="A36" s="402">
        <v>46226</v>
      </c>
      <c r="B36" s="391">
        <v>7</v>
      </c>
      <c r="C36" s="392">
        <v>30000</v>
      </c>
      <c r="D36" s="407">
        <v>0.0142</v>
      </c>
      <c r="E36" s="394">
        <f>C36*10000</f>
        <v>300000000</v>
      </c>
      <c r="F36" s="394">
        <f>E36+E36*D36*B36/360</f>
        <v>300082833.333333</v>
      </c>
      <c r="G36" s="396">
        <f>F36-E36</f>
        <v>82833.3333333135</v>
      </c>
      <c r="H36" s="366" t="s"/>
      <c r="I36" s="405" t="s"/>
      <c r="J36" s="406" t="s"/>
      <c r="K36" s="399" t="s"/>
      <c r="L36" s="86" t="s"/>
      <c r="M36" s="86" t="s"/>
      <c r="N36" s="86" t="s"/>
      <c r="O36" s="86" t="s"/>
      <c r="P36" s="86" t="s"/>
      <c r="Q36" s="86" t="s"/>
      <c r="R36" s="86" t="s"/>
      <c r="S36" s="86" t="s"/>
      <c r="T36" s="86" t="s"/>
      <c r="U36" s="86" t="s"/>
      <c r="V36" s="86" t="s"/>
      <c r="W36" s="86" t="s"/>
      <c r="X36" s="86" t="s"/>
    </row>
    <row r="37" spans="1:24" ht="22.5" customHeight="1">
      <c r="A37" s="402">
        <v>46233</v>
      </c>
      <c r="B37" s="391">
        <v>7</v>
      </c>
      <c r="C37" s="392">
        <v>20000</v>
      </c>
      <c r="D37" s="407">
        <v>0.0146</v>
      </c>
      <c r="E37" s="394">
        <f>C37*10000</f>
        <v>200000000</v>
      </c>
      <c r="F37" s="394">
        <f>E37+E37*D37*B37/360</f>
        <v>200056777.777778</v>
      </c>
      <c r="G37" s="396">
        <f>F37-E37</f>
        <v>56777.777777791</v>
      </c>
      <c r="H37" s="366" t="s"/>
      <c r="I37" s="405" t="s"/>
      <c r="J37" s="406" t="s"/>
      <c r="K37" s="399" t="s"/>
      <c r="L37" s="86" t="s"/>
      <c r="M37" s="86" t="s"/>
      <c r="N37" s="86" t="s"/>
      <c r="O37" s="86" t="s"/>
      <c r="P37" s="86" t="s"/>
      <c r="Q37" s="86" t="s"/>
      <c r="R37" s="86" t="s"/>
      <c r="S37" s="86" t="s"/>
      <c r="T37" s="86" t="s"/>
      <c r="U37" s="86" t="s"/>
      <c r="V37" s="86" t="s"/>
      <c r="W37" s="86" t="s"/>
      <c r="X37" s="86" t="s"/>
    </row>
    <row r="38" spans="1:24" ht="22.5" customHeight="1">
      <c r="A38" s="402">
        <v>46233</v>
      </c>
      <c r="B38" s="391">
        <v>7</v>
      </c>
      <c r="C38" s="392">
        <v>30000</v>
      </c>
      <c r="D38" s="407">
        <v>0.0146</v>
      </c>
      <c r="E38" s="394">
        <f>C38*10000</f>
        <v>300000000</v>
      </c>
      <c r="F38" s="394">
        <f>E38+E38*D38*B38/360</f>
        <v>300085166.666667</v>
      </c>
      <c r="G38" s="396">
        <f>F38-E38</f>
        <v>85166.6666666866</v>
      </c>
      <c r="H38" s="366" t="s"/>
      <c r="I38" s="405" t="s"/>
      <c r="J38" s="406" t="s"/>
      <c r="K38" s="399" t="s"/>
      <c r="L38" s="86" t="s"/>
      <c r="M38" s="86" t="s"/>
      <c r="N38" s="86" t="s"/>
      <c r="O38" s="86" t="s"/>
      <c r="P38" s="86" t="s"/>
      <c r="Q38" s="86" t="s"/>
      <c r="R38" s="86" t="s"/>
      <c r="S38" s="86" t="s"/>
      <c r="T38" s="86" t="s"/>
      <c r="U38" s="86" t="s"/>
      <c r="V38" s="86" t="s"/>
      <c r="W38" s="86" t="s"/>
      <c r="X38" s="86" t="s"/>
    </row>
    <row r="39" spans="1:24" ht="22.5" customHeight="1">
      <c r="A39" s="402">
        <v>46240</v>
      </c>
      <c r="B39" s="391">
        <v>7</v>
      </c>
      <c r="C39" s="392">
        <v>20000</v>
      </c>
      <c r="D39" s="407">
        <v>0.0141</v>
      </c>
      <c r="E39" s="394">
        <f>C39*10000</f>
        <v>200000000</v>
      </c>
      <c r="F39" s="394">
        <f>E39+E39*D39*B39/360</f>
        <v>200054833.333333</v>
      </c>
      <c r="G39" s="396">
        <f>F39-E39</f>
        <v>54833.3333333433</v>
      </c>
      <c r="H39" s="366" t="s"/>
      <c r="I39" s="405" t="s"/>
      <c r="J39" s="406" t="s"/>
      <c r="K39" s="399" t="s"/>
      <c r="L39" s="86" t="s"/>
      <c r="M39" s="86" t="s"/>
      <c r="N39" s="86" t="s"/>
      <c r="O39" s="86" t="s"/>
      <c r="P39" s="86" t="s"/>
      <c r="Q39" s="86" t="s"/>
      <c r="R39" s="86" t="s"/>
      <c r="S39" s="86" t="s"/>
      <c r="T39" s="86" t="s"/>
      <c r="U39" s="86" t="s"/>
      <c r="V39" s="86" t="s"/>
      <c r="W39" s="86" t="s"/>
      <c r="X39" s="86" t="s"/>
    </row>
    <row r="40" spans="1:24" ht="22.5" customHeight="1">
      <c r="A40" s="402">
        <v>46240</v>
      </c>
      <c r="B40" s="391">
        <v>7</v>
      </c>
      <c r="C40" s="392">
        <v>30000</v>
      </c>
      <c r="D40" s="407">
        <v>0.0141</v>
      </c>
      <c r="E40" s="394">
        <f>C40*10000</f>
        <v>300000000</v>
      </c>
      <c r="F40" s="394">
        <f>E40+E40*D40*B40/360</f>
        <v>300082250</v>
      </c>
      <c r="G40" s="396">
        <f>F40-E40</f>
        <v>82250</v>
      </c>
      <c r="H40" s="366" t="s"/>
      <c r="I40" s="405" t="s"/>
      <c r="J40" s="406" t="s"/>
      <c r="K40" s="399" t="s"/>
      <c r="L40" s="86" t="s"/>
      <c r="M40" s="86" t="s"/>
      <c r="N40" s="86" t="s"/>
      <c r="O40" s="86" t="s"/>
      <c r="P40" s="86" t="s"/>
      <c r="Q40" s="86" t="s"/>
      <c r="R40" s="86" t="s"/>
      <c r="S40" s="86" t="s"/>
      <c r="T40" s="86" t="s"/>
      <c r="U40" s="86" t="s"/>
      <c r="V40" s="86" t="s"/>
      <c r="W40" s="86" t="s"/>
      <c r="X40" s="86" t="s"/>
    </row>
    <row r="41" spans="1:24" ht="22.5" customHeight="1">
      <c r="A41" s="402">
        <v>46247</v>
      </c>
      <c r="B41" s="391">
        <v>7</v>
      </c>
      <c r="C41" s="392">
        <v>20000</v>
      </c>
      <c r="D41" s="407">
        <v>0.0143</v>
      </c>
      <c r="E41" s="394">
        <f>C41*10000</f>
        <v>200000000</v>
      </c>
      <c r="F41" s="394">
        <f>E41+E41*D41*B41/360</f>
        <v>200055611.111111</v>
      </c>
      <c r="G41" s="396">
        <f>F41-E41</f>
        <v>55611.1111111045</v>
      </c>
      <c r="H41" s="366" t="s"/>
      <c r="I41" s="405" t="s"/>
      <c r="J41" s="406" t="s"/>
      <c r="K41" s="399" t="s"/>
      <c r="L41" s="86" t="s"/>
      <c r="M41" s="86" t="s"/>
      <c r="N41" s="86" t="s"/>
      <c r="O41" s="86" t="s"/>
      <c r="P41" s="86" t="s"/>
      <c r="Q41" s="86" t="s"/>
      <c r="R41" s="86" t="s"/>
      <c r="S41" s="86" t="s"/>
      <c r="T41" s="86" t="s"/>
      <c r="U41" s="86" t="s"/>
      <c r="V41" s="86" t="s"/>
      <c r="W41" s="86" t="s"/>
      <c r="X41" s="86" t="s"/>
    </row>
    <row r="42" spans="1:24" ht="22.5" customHeight="1">
      <c r="A42" s="402">
        <v>46247</v>
      </c>
      <c r="B42" s="391">
        <v>7</v>
      </c>
      <c r="C42" s="392">
        <v>20000</v>
      </c>
      <c r="D42" s="407">
        <v>0.0143</v>
      </c>
      <c r="E42" s="394">
        <f>C42*10000</f>
        <v>200000000</v>
      </c>
      <c r="F42" s="394">
        <f>E42+E42*D42*B42/360</f>
        <v>200055611.111111</v>
      </c>
      <c r="G42" s="396">
        <f>F42-E42</f>
        <v>55611.1111111045</v>
      </c>
      <c r="H42" s="366" t="s"/>
      <c r="I42" s="405" t="s"/>
      <c r="J42" s="406" t="s"/>
      <c r="K42" s="399" t="s"/>
      <c r="L42" s="86" t="s"/>
      <c r="M42" s="86" t="s"/>
      <c r="N42" s="86" t="s"/>
      <c r="O42" s="86" t="s"/>
      <c r="P42" s="86" t="s"/>
      <c r="Q42" s="86" t="s"/>
      <c r="R42" s="86" t="s"/>
      <c r="S42" s="86" t="s"/>
      <c r="T42" s="86" t="s"/>
      <c r="U42" s="86" t="s"/>
      <c r="V42" s="86" t="s"/>
      <c r="W42" s="86" t="s"/>
      <c r="X42" s="86" t="s"/>
    </row>
    <row r="43" spans="1:24" ht="22.5" customHeight="1">
      <c r="A43" s="402">
        <v>46254</v>
      </c>
      <c r="B43" s="391">
        <v>7</v>
      </c>
      <c r="C43" s="392">
        <v>20000</v>
      </c>
      <c r="D43" s="407">
        <v>0.0142</v>
      </c>
      <c r="E43" s="394">
        <f>C43*10000</f>
        <v>200000000</v>
      </c>
      <c r="F43" s="394">
        <f>E43+E43*D43*B43/360</f>
        <v>200055222.222222</v>
      </c>
      <c r="G43" s="396">
        <f>F43-E43</f>
        <v>55222.222222209</v>
      </c>
      <c r="H43" s="366" t="s"/>
      <c r="I43" s="405" t="s"/>
      <c r="J43" s="406" t="s"/>
      <c r="K43" s="399" t="s"/>
      <c r="L43" s="86" t="s"/>
      <c r="M43" s="86" t="s"/>
      <c r="N43" s="86" t="s"/>
      <c r="O43" s="86" t="s"/>
      <c r="P43" s="86" t="s"/>
      <c r="Q43" s="86" t="s"/>
      <c r="R43" s="86" t="s"/>
      <c r="S43" s="86" t="s"/>
      <c r="T43" s="86" t="s"/>
      <c r="U43" s="86" t="s"/>
      <c r="V43" s="86" t="s"/>
      <c r="W43" s="86" t="s"/>
      <c r="X43" s="86" t="s"/>
    </row>
    <row r="44" spans="1:24" ht="22.5" customHeight="1">
      <c r="A44" s="402">
        <v>46254</v>
      </c>
      <c r="B44" s="391">
        <v>7</v>
      </c>
      <c r="C44" s="392">
        <v>20000</v>
      </c>
      <c r="D44" s="407">
        <v>0.0142</v>
      </c>
      <c r="E44" s="394">
        <f>C44*10000</f>
        <v>200000000</v>
      </c>
      <c r="F44" s="394">
        <f>E44+E44*D44*B44/360</f>
        <v>200055222.222222</v>
      </c>
      <c r="G44" s="396">
        <f>F44-E44</f>
        <v>55222.222222209</v>
      </c>
      <c r="H44" s="366" t="s"/>
      <c r="I44" s="405" t="s"/>
      <c r="J44" s="406" t="s"/>
      <c r="K44" s="399" t="s"/>
      <c r="L44" s="366" t="s"/>
      <c r="M44" s="86" t="s"/>
      <c r="N44" s="86" t="s"/>
      <c r="O44" s="86" t="s"/>
      <c r="P44" s="86" t="s"/>
      <c r="Q44" s="86" t="s"/>
      <c r="R44" s="86" t="s"/>
      <c r="S44" s="86" t="s"/>
      <c r="T44" s="86" t="s"/>
      <c r="U44" s="86" t="s"/>
      <c r="V44" s="86" t="s"/>
      <c r="W44" s="86" t="s"/>
      <c r="X44" s="86" t="s"/>
    </row>
    <row r="45" spans="1:24" ht="22.5" customHeight="1">
      <c r="A45" s="402">
        <v>46258</v>
      </c>
      <c r="B45" s="391">
        <v>3</v>
      </c>
      <c r="C45" s="392">
        <v>10000</v>
      </c>
      <c r="D45" s="407">
        <v>0.0146</v>
      </c>
      <c r="E45" s="394">
        <f>C45*10000</f>
        <v>100000000</v>
      </c>
      <c r="F45" s="394">
        <f>E45+E45*D45*B45/360</f>
        <v>100012166.666667</v>
      </c>
      <c r="G45" s="396">
        <f>F45-E45</f>
        <v>12166.6666666716</v>
      </c>
      <c r="H45" s="366" t="s"/>
      <c r="I45" s="405" t="s"/>
      <c r="J45" s="406" t="s"/>
      <c r="K45" s="399" t="s"/>
      <c r="L45" s="86" t="s"/>
      <c r="M45" s="86" t="s"/>
      <c r="N45" s="86" t="s"/>
      <c r="O45" s="86" t="s"/>
      <c r="P45" s="86" t="s"/>
      <c r="Q45" s="86" t="s"/>
      <c r="R45" s="86" t="s"/>
      <c r="S45" s="86" t="s"/>
      <c r="T45" s="86" t="s"/>
      <c r="U45" s="86" t="s"/>
      <c r="V45" s="86" t="s"/>
      <c r="W45" s="86" t="s"/>
      <c r="X45" s="86" t="s"/>
    </row>
    <row r="46" spans="1:24" ht="22.5" customHeight="1">
      <c r="A46" s="402">
        <v>46261</v>
      </c>
      <c r="B46" s="391">
        <v>7</v>
      </c>
      <c r="C46" s="392">
        <v>30000</v>
      </c>
      <c r="D46" s="407">
        <v>0.01394</v>
      </c>
      <c r="E46" s="394">
        <f>C46*10000</f>
        <v>300000000</v>
      </c>
      <c r="F46" s="394">
        <f>E46+E46*D46*B46/360</f>
        <v>300081316.666667</v>
      </c>
      <c r="G46" s="396">
        <f>F46-E46</f>
        <v>81316.6666666866</v>
      </c>
      <c r="H46" s="366" t="s"/>
      <c r="I46" s="405" t="s"/>
      <c r="J46" s="406" t="s"/>
      <c r="K46" s="399" t="s"/>
      <c r="L46" s="86" t="s"/>
      <c r="M46" s="86" t="s"/>
      <c r="N46" s="86" t="s"/>
      <c r="O46" s="86" t="s"/>
      <c r="P46" s="86" t="s"/>
      <c r="Q46" s="86" t="s"/>
      <c r="R46" s="86" t="s"/>
      <c r="S46" s="86" t="s"/>
      <c r="T46" s="86" t="s"/>
      <c r="U46" s="86" t="s"/>
      <c r="V46" s="86" t="s"/>
      <c r="W46" s="86" t="s"/>
      <c r="X46" s="86" t="s"/>
    </row>
    <row r="47" spans="1:24" ht="22.5" customHeight="1">
      <c r="A47" s="402">
        <v>46261</v>
      </c>
      <c r="B47" s="391">
        <v>7</v>
      </c>
      <c r="C47" s="392">
        <v>20000</v>
      </c>
      <c r="D47" s="407">
        <v>0.0139</v>
      </c>
      <c r="E47" s="394">
        <f>C47*10000</f>
        <v>200000000</v>
      </c>
      <c r="F47" s="394">
        <f>E47+E47*D47*B47/360</f>
        <v>200054055.555556</v>
      </c>
      <c r="G47" s="396">
        <f>F47-E47</f>
        <v>54055.5555555523</v>
      </c>
      <c r="H47" s="366" t="s"/>
      <c r="I47" s="405" t="s"/>
      <c r="J47" s="406" t="s"/>
      <c r="K47" s="399" t="s"/>
      <c r="L47" s="86" t="s"/>
      <c r="M47" s="86" t="s"/>
      <c r="N47" s="86" t="s"/>
      <c r="O47" s="86" t="s"/>
      <c r="P47" s="86" t="s"/>
      <c r="Q47" s="86" t="s"/>
      <c r="R47" s="86" t="s"/>
      <c r="S47" s="86" t="s"/>
      <c r="T47" s="86" t="s"/>
      <c r="U47" s="86" t="s"/>
      <c r="V47" s="86" t="s"/>
      <c r="W47" s="86" t="s"/>
      <c r="X47" s="86" t="s"/>
    </row>
    <row r="48" spans="1:24" ht="22.5" customHeight="1">
      <c r="A48" s="402">
        <v>46268</v>
      </c>
      <c r="B48" s="391">
        <v>7</v>
      </c>
      <c r="C48" s="392">
        <v>30000</v>
      </c>
      <c r="D48" s="407">
        <v>0.01404</v>
      </c>
      <c r="E48" s="394">
        <f>C48*10000</f>
        <v>300000000</v>
      </c>
      <c r="F48" s="394">
        <f>E48+E48*D48*B48/360</f>
        <v>300081900</v>
      </c>
      <c r="G48" s="396">
        <f>F48-E48</f>
        <v>81900</v>
      </c>
      <c r="H48" s="366" t="s"/>
      <c r="I48" s="405" t="s"/>
      <c r="J48" s="406" t="s"/>
      <c r="K48" s="399" t="s"/>
      <c r="L48" s="86" t="s"/>
      <c r="M48" s="86" t="s"/>
      <c r="N48" s="86" t="s"/>
      <c r="O48" s="86" t="s"/>
      <c r="P48" s="86" t="s"/>
      <c r="Q48" s="86" t="s"/>
      <c r="R48" s="86" t="s"/>
      <c r="S48" s="86" t="s"/>
      <c r="T48" s="86" t="s"/>
      <c r="U48" s="86" t="s"/>
      <c r="V48" s="86" t="s"/>
      <c r="W48" s="86" t="s"/>
      <c r="X48" s="86" t="s"/>
    </row>
    <row r="49" spans="1:24" ht="22.5" customHeight="1">
      <c r="A49" s="402">
        <v>46268</v>
      </c>
      <c r="B49" s="391">
        <v>7</v>
      </c>
      <c r="C49" s="392">
        <v>20000</v>
      </c>
      <c r="D49" s="407">
        <v>0.01404</v>
      </c>
      <c r="E49" s="394">
        <f>C49*10000</f>
        <v>200000000</v>
      </c>
      <c r="F49" s="394">
        <f>E49+E49*D49*B49/360</f>
        <v>200054600</v>
      </c>
      <c r="G49" s="396">
        <f>F49-E49</f>
        <v>54600</v>
      </c>
      <c r="H49" s="366" t="s"/>
      <c r="I49" s="405" t="s"/>
      <c r="J49" s="406" t="s"/>
      <c r="K49" s="399" t="s"/>
      <c r="L49" s="86" t="s"/>
      <c r="M49" s="86" t="s"/>
      <c r="N49" s="86" t="s"/>
      <c r="O49" s="86" t="s"/>
      <c r="P49" s="86" t="s"/>
      <c r="Q49" s="86" t="s"/>
      <c r="R49" s="86" t="s"/>
      <c r="S49" s="86" t="s"/>
      <c r="T49" s="86" t="s"/>
      <c r="U49" s="86" t="s"/>
      <c r="V49" s="86" t="s"/>
      <c r="W49" s="86" t="s"/>
      <c r="X49" s="86" t="s"/>
    </row>
    <row r="50" spans="1:24" ht="22.5" customHeight="1">
      <c r="A50" s="402">
        <v>46275</v>
      </c>
      <c r="B50" s="391">
        <v>7</v>
      </c>
      <c r="C50" s="392">
        <v>30000</v>
      </c>
      <c r="D50" s="407">
        <v>0.0144</v>
      </c>
      <c r="E50" s="394">
        <f>C50*10000</f>
        <v>300000000</v>
      </c>
      <c r="F50" s="394">
        <f>E50+E50*D50*B50/360</f>
        <v>300084000</v>
      </c>
      <c r="G50" s="396">
        <f>F50-E50</f>
        <v>84000</v>
      </c>
      <c r="H50" s="366" t="s"/>
      <c r="I50" s="405" t="s"/>
      <c r="J50" s="406" t="s"/>
      <c r="K50" s="399" t="s"/>
      <c r="L50" s="86" t="s"/>
      <c r="M50" s="86" t="s"/>
      <c r="N50" s="86" t="s"/>
      <c r="O50" s="86" t="s"/>
      <c r="P50" s="86" t="s"/>
      <c r="Q50" s="86" t="s"/>
      <c r="R50" s="86" t="s"/>
      <c r="S50" s="86" t="s"/>
      <c r="T50" s="86" t="s"/>
      <c r="U50" s="86" t="s"/>
      <c r="V50" s="86" t="s"/>
      <c r="W50" s="86" t="s"/>
      <c r="X50" s="86" t="s"/>
    </row>
    <row r="51" spans="1:24" ht="22.5" customHeight="1">
      <c r="A51" s="402">
        <v>46275</v>
      </c>
      <c r="B51" s="391">
        <v>7</v>
      </c>
      <c r="C51" s="392">
        <v>20000</v>
      </c>
      <c r="D51" s="407">
        <v>0.0144</v>
      </c>
      <c r="E51" s="394">
        <f>C51*10000</f>
        <v>200000000</v>
      </c>
      <c r="F51" s="394">
        <f>E51+E51*D51*B51/360</f>
        <v>200056000</v>
      </c>
      <c r="G51" s="396">
        <f>F51-E51</f>
        <v>56000</v>
      </c>
      <c r="H51" s="366" t="s"/>
      <c r="I51" s="405" t="s"/>
      <c r="J51" s="406" t="s"/>
      <c r="K51" s="399" t="s"/>
      <c r="L51" s="86" t="s"/>
      <c r="M51" s="86" t="s"/>
      <c r="N51" s="86" t="s"/>
      <c r="O51" s="86" t="s"/>
      <c r="P51" s="86" t="s"/>
      <c r="Q51" s="86" t="s"/>
      <c r="R51" s="86" t="s"/>
      <c r="S51" s="86" t="s"/>
      <c r="T51" s="86" t="s"/>
      <c r="U51" s="86" t="s"/>
      <c r="V51" s="86" t="s"/>
      <c r="W51" s="86" t="s"/>
      <c r="X51" s="86" t="s"/>
    </row>
    <row r="52" spans="1:24" ht="22.5" customHeight="1">
      <c r="A52" s="402">
        <v>46282</v>
      </c>
      <c r="B52" s="391">
        <v>7</v>
      </c>
      <c r="C52" s="392">
        <v>30000</v>
      </c>
      <c r="D52" s="407">
        <v>0.0148</v>
      </c>
      <c r="E52" s="394">
        <f>C52*10000</f>
        <v>300000000</v>
      </c>
      <c r="F52" s="394">
        <f>E52+E52*D52*B52/360</f>
        <v>300086333.333333</v>
      </c>
      <c r="G52" s="396">
        <f>F52-E52</f>
        <v>86333.3333333135</v>
      </c>
      <c r="H52" s="366" t="s"/>
      <c r="I52" s="405" t="s"/>
      <c r="J52" s="406" t="s"/>
      <c r="K52" s="399" t="s"/>
      <c r="L52" s="86" t="s"/>
      <c r="M52" s="86" t="s"/>
      <c r="N52" s="86" t="s"/>
      <c r="O52" s="86" t="s"/>
      <c r="P52" s="86" t="s"/>
      <c r="Q52" s="86" t="s"/>
      <c r="R52" s="86" t="s"/>
      <c r="S52" s="86" t="s"/>
      <c r="T52" s="86" t="s"/>
      <c r="U52" s="86" t="s"/>
      <c r="V52" s="86" t="s"/>
      <c r="W52" s="86" t="s"/>
      <c r="X52" s="86" t="s"/>
    </row>
    <row r="53" spans="1:24" ht="22.5" customHeight="1">
      <c r="A53" s="402">
        <v>46282</v>
      </c>
      <c r="B53" s="391">
        <v>7</v>
      </c>
      <c r="C53" s="392">
        <v>20000</v>
      </c>
      <c r="D53" s="407">
        <v>0.0148</v>
      </c>
      <c r="E53" s="394">
        <f>C53*10000</f>
        <v>200000000</v>
      </c>
      <c r="F53" s="394">
        <f>E53+E53*D53*B53/360</f>
        <v>200057555.555556</v>
      </c>
      <c r="G53" s="396">
        <f>F53-E53</f>
        <v>57555.5555555523</v>
      </c>
      <c r="H53" s="366" t="s"/>
      <c r="I53" s="405" t="s"/>
      <c r="J53" s="406" t="s"/>
      <c r="K53" s="399" t="s"/>
      <c r="L53" s="86" t="s"/>
      <c r="M53" s="86" t="s"/>
      <c r="N53" s="86" t="s"/>
      <c r="O53" s="86" t="s"/>
      <c r="P53" s="86" t="s"/>
      <c r="Q53" s="86" t="s"/>
      <c r="R53" s="86" t="s"/>
      <c r="S53" s="86" t="s"/>
      <c r="T53" s="86" t="s"/>
      <c r="U53" s="86" t="s"/>
      <c r="V53" s="86" t="s"/>
      <c r="W53" s="86" t="s"/>
      <c r="X53" s="86" t="s"/>
    </row>
    <row r="54" spans="1:24" ht="22.5" customHeight="1">
      <c r="A54" s="402">
        <v>46289</v>
      </c>
      <c r="B54" s="391">
        <v>14</v>
      </c>
      <c r="C54" s="392">
        <v>30000</v>
      </c>
      <c r="D54" s="407">
        <v>0.014</v>
      </c>
      <c r="E54" s="394">
        <f>C54*10000</f>
        <v>300000000</v>
      </c>
      <c r="F54" s="394">
        <f>E54+E54*D54*B54/360</f>
        <v>300163333.333333</v>
      </c>
      <c r="G54" s="396">
        <f>F54-E54</f>
        <v>163333.333333314</v>
      </c>
      <c r="H54" s="366" t="s"/>
      <c r="I54" s="405" t="s"/>
      <c r="J54" s="406" t="s"/>
      <c r="K54" s="399" t="s"/>
      <c r="L54" s="86" t="s"/>
      <c r="M54" s="86" t="s"/>
      <c r="N54" s="86" t="s"/>
      <c r="O54" s="86" t="s"/>
      <c r="P54" s="86" t="s"/>
      <c r="Q54" s="86" t="s"/>
      <c r="R54" s="86" t="s"/>
      <c r="S54" s="86" t="s"/>
      <c r="T54" s="86" t="s"/>
      <c r="U54" s="86" t="s"/>
      <c r="V54" s="86" t="s"/>
      <c r="W54" s="86" t="s"/>
      <c r="X54" s="86" t="s"/>
    </row>
    <row r="55" spans="1:24" ht="22.5" customHeight="1">
      <c r="A55" s="402">
        <v>46289</v>
      </c>
      <c r="B55" s="391">
        <v>14</v>
      </c>
      <c r="C55" s="392">
        <v>20000</v>
      </c>
      <c r="D55" s="407">
        <v>0.014</v>
      </c>
      <c r="E55" s="394">
        <f>C55*10000</f>
        <v>200000000</v>
      </c>
      <c r="F55" s="394">
        <f>E55+E55*D55*B55/360</f>
        <v>200108888.888889</v>
      </c>
      <c r="G55" s="396">
        <f>F55-E55</f>
        <v>108888.888888896</v>
      </c>
      <c r="H55" s="366" t="s"/>
      <c r="I55" s="405" t="s"/>
      <c r="J55" s="406" t="s"/>
      <c r="K55" s="399" t="s"/>
      <c r="L55" s="86" t="s"/>
      <c r="M55" s="86" t="s"/>
      <c r="N55" s="86" t="s"/>
      <c r="O55" s="86" t="s"/>
      <c r="P55" s="86" t="s"/>
      <c r="Q55" s="86" t="s"/>
      <c r="R55" s="86" t="s"/>
      <c r="S55" s="86" t="s"/>
      <c r="T55" s="86" t="s"/>
      <c r="U55" s="86" t="s"/>
      <c r="V55" s="86" t="s"/>
      <c r="W55" s="86" t="s"/>
      <c r="X55" s="86" t="s"/>
    </row>
    <row r="56" spans="1:24" ht="22.5" customHeight="1">
      <c r="A56" s="402">
        <v>46303</v>
      </c>
      <c r="B56" s="391">
        <v>7</v>
      </c>
      <c r="C56" s="392">
        <v>30000</v>
      </c>
      <c r="D56" s="407">
        <v>0.0142</v>
      </c>
      <c r="E56" s="394">
        <f>C56*10000</f>
        <v>300000000</v>
      </c>
      <c r="F56" s="394">
        <f>E56+E56*D56*B56/360</f>
        <v>300082833.333333</v>
      </c>
      <c r="G56" s="396">
        <f>F56-E56</f>
        <v>82833.3333333135</v>
      </c>
      <c r="H56" s="366" t="s"/>
      <c r="I56" s="405" t="s"/>
      <c r="J56" s="406" t="s"/>
      <c r="K56" s="399" t="s"/>
      <c r="L56" s="86" t="s"/>
      <c r="M56" s="86" t="s"/>
      <c r="N56" s="86" t="s"/>
      <c r="O56" s="86" t="s"/>
      <c r="P56" s="86" t="s"/>
      <c r="Q56" s="86" t="s"/>
      <c r="R56" s="86" t="s"/>
      <c r="S56" s="86" t="s"/>
      <c r="T56" s="86" t="s"/>
      <c r="U56" s="86" t="s"/>
      <c r="V56" s="86" t="s"/>
      <c r="W56" s="86" t="s"/>
      <c r="X56" s="86" t="s"/>
    </row>
    <row r="57" spans="1:24" ht="22.5" customHeight="1">
      <c r="A57" s="402">
        <v>46303</v>
      </c>
      <c r="B57" s="391">
        <v>7</v>
      </c>
      <c r="C57" s="392">
        <v>20000</v>
      </c>
      <c r="D57" s="407">
        <v>0.0142</v>
      </c>
      <c r="E57" s="394">
        <f>C57*10000</f>
        <v>200000000</v>
      </c>
      <c r="F57" s="394">
        <f>E57+E57*D57*B57/360</f>
        <v>200055222.222222</v>
      </c>
      <c r="G57" s="396">
        <f>F57-E57</f>
        <v>55222.222222209</v>
      </c>
      <c r="H57" s="366" t="s"/>
      <c r="I57" s="405" t="s"/>
      <c r="J57" s="406" t="s"/>
      <c r="K57" s="399" t="s"/>
      <c r="L57" s="86" t="s"/>
      <c r="M57" s="86" t="s"/>
      <c r="N57" s="86" t="s"/>
      <c r="O57" s="86" t="s"/>
      <c r="P57" s="86" t="s"/>
      <c r="Q57" s="86" t="s"/>
      <c r="R57" s="86" t="s"/>
      <c r="S57" s="86" t="s"/>
      <c r="T57" s="86" t="s"/>
      <c r="U57" s="86" t="s"/>
      <c r="V57" s="86" t="s"/>
      <c r="W57" s="86" t="s"/>
      <c r="X57" s="86" t="s"/>
    </row>
    <row r="58" spans="1:24" ht="22.5" customHeight="1">
      <c r="A58" s="390" t="s"/>
      <c r="B58" s="391" t="s"/>
      <c r="C58" s="392" t="s"/>
      <c r="D58" s="407" t="s"/>
      <c r="E58" s="394">
        <f>C58*10000</f>
        <v>0</v>
      </c>
      <c r="F58" s="394">
        <f>E58+E58*D58*B58/360</f>
        <v>0</v>
      </c>
      <c r="G58" s="396">
        <f>F58-E58</f>
        <v>0</v>
      </c>
      <c r="H58" s="366" t="s"/>
      <c r="I58" s="405" t="s"/>
      <c r="J58" s="406" t="s"/>
      <c r="K58" s="399" t="s"/>
      <c r="L58" s="86" t="s"/>
      <c r="M58" s="86" t="s"/>
      <c r="N58" s="86" t="s"/>
      <c r="O58" s="86" t="s"/>
      <c r="P58" s="86" t="s"/>
      <c r="Q58" s="86" t="s"/>
      <c r="R58" s="86" t="s"/>
      <c r="S58" s="86" t="s"/>
      <c r="T58" s="86" t="s"/>
      <c r="U58" s="86" t="s"/>
      <c r="V58" s="86" t="s"/>
      <c r="W58" s="86" t="s"/>
      <c r="X58" s="86" t="s"/>
    </row>
    <row r="59" spans="1:24" ht="22.5" customHeight="1">
      <c r="A59" s="390" t="s"/>
      <c r="B59" s="391" t="s"/>
      <c r="C59" s="392" t="s"/>
      <c r="D59" s="407" t="s"/>
      <c r="E59" s="394">
        <f>C59*10000</f>
        <v>0</v>
      </c>
      <c r="F59" s="394">
        <f>E59+E59*D59*B59/360</f>
        <v>0</v>
      </c>
      <c r="G59" s="396">
        <f>F59-E59</f>
        <v>0</v>
      </c>
      <c r="H59" s="366" t="s"/>
      <c r="I59" s="405" t="s"/>
      <c r="J59" s="406" t="s"/>
      <c r="K59" s="399" t="s"/>
      <c r="L59" s="86" t="s"/>
      <c r="M59" s="86" t="s"/>
      <c r="N59" s="86" t="s"/>
      <c r="O59" s="86" t="s"/>
      <c r="P59" s="86" t="s"/>
      <c r="Q59" s="86" t="s"/>
      <c r="R59" s="86" t="s"/>
      <c r="S59" s="86" t="s"/>
      <c r="T59" s="86" t="s"/>
      <c r="U59" s="86" t="s"/>
      <c r="V59" s="86" t="s"/>
      <c r="W59" s="86" t="s"/>
      <c r="X59" s="86" t="s"/>
    </row>
    <row r="60" spans="1:24" ht="22.5" customHeight="1">
      <c r="A60" s="390" t="s"/>
      <c r="B60" s="391" t="s"/>
      <c r="C60" s="392" t="s"/>
      <c r="D60" s="407" t="s"/>
      <c r="E60" s="394">
        <f>C60*10000</f>
        <v>0</v>
      </c>
      <c r="F60" s="394">
        <f>E60+E60*D60*B60/360</f>
        <v>0</v>
      </c>
      <c r="G60" s="396">
        <f>F60-E60</f>
        <v>0</v>
      </c>
      <c r="H60" s="366" t="s"/>
      <c r="I60" s="405" t="s"/>
      <c r="J60" s="406" t="s"/>
      <c r="K60" s="399" t="s"/>
      <c r="L60" s="86" t="s"/>
      <c r="M60" s="86" t="s"/>
      <c r="N60" s="86" t="s"/>
      <c r="O60" s="86" t="s"/>
      <c r="P60" s="86" t="s"/>
      <c r="Q60" s="86" t="s"/>
      <c r="R60" s="86" t="s"/>
      <c r="S60" s="86" t="s"/>
      <c r="T60" s="86" t="s"/>
      <c r="U60" s="86" t="s"/>
      <c r="V60" s="86" t="s"/>
      <c r="W60" s="86" t="s"/>
      <c r="X60" s="86" t="s"/>
    </row>
    <row r="61" spans="1:24" ht="22.5" customHeight="1">
      <c r="A61" s="390" t="s"/>
      <c r="B61" s="391" t="s"/>
      <c r="C61" s="392" t="s"/>
      <c r="D61" s="407" t="s"/>
      <c r="E61" s="394">
        <f>C61*10000</f>
        <v>0</v>
      </c>
      <c r="F61" s="394">
        <f>E61+E61*D61*B61/360</f>
        <v>0</v>
      </c>
      <c r="G61" s="396">
        <f>F61-E61</f>
        <v>0</v>
      </c>
      <c r="H61" s="366" t="s"/>
      <c r="I61" s="405" t="s"/>
      <c r="J61" s="406" t="s"/>
      <c r="K61" s="399" t="s"/>
      <c r="L61" s="86" t="s"/>
      <c r="M61" s="86" t="s"/>
      <c r="N61" s="86" t="s"/>
      <c r="O61" s="86" t="s"/>
      <c r="P61" s="86" t="s"/>
      <c r="Q61" s="86" t="s"/>
      <c r="R61" s="86" t="s"/>
      <c r="S61" s="86" t="s"/>
      <c r="T61" s="86" t="s"/>
      <c r="U61" s="86" t="s"/>
      <c r="V61" s="86" t="s"/>
      <c r="W61" s="86" t="s"/>
      <c r="X61" s="86" t="s"/>
    </row>
    <row r="62" spans="1:24" ht="22.5" customHeight="1">
      <c r="A62" s="390" t="s"/>
      <c r="B62" s="391" t="s"/>
      <c r="C62" s="392" t="s"/>
      <c r="D62" s="407" t="s"/>
      <c r="E62" s="394">
        <f>C62*10000</f>
        <v>0</v>
      </c>
      <c r="F62" s="394">
        <f>E62+E62*D62*B62/360</f>
        <v>0</v>
      </c>
      <c r="G62" s="396">
        <f>F62-E62</f>
        <v>0</v>
      </c>
      <c r="H62" s="366" t="s"/>
      <c r="I62" s="405" t="s"/>
      <c r="J62" s="406" t="s"/>
      <c r="K62" s="399" t="s"/>
      <c r="L62" s="86" t="s"/>
      <c r="M62" s="86" t="s"/>
      <c r="N62" s="86" t="s"/>
      <c r="O62" s="86" t="s"/>
      <c r="P62" s="86" t="s"/>
      <c r="Q62" s="86" t="s"/>
      <c r="R62" s="86" t="s"/>
      <c r="S62" s="86" t="s"/>
      <c r="T62" s="86" t="s"/>
      <c r="U62" s="86" t="s"/>
      <c r="V62" s="86" t="s"/>
      <c r="W62" s="86" t="s"/>
      <c r="X62" s="86" t="s"/>
    </row>
    <row r="63" spans="1:24" ht="22.5" customHeight="1">
      <c r="A63" s="390" t="s"/>
      <c r="B63" s="391" t="s"/>
      <c r="C63" s="392" t="s"/>
      <c r="D63" s="407" t="s"/>
      <c r="E63" s="394">
        <f>C63*10000</f>
        <v>0</v>
      </c>
      <c r="F63" s="394">
        <f>E63+E63*D63*B63/360</f>
        <v>0</v>
      </c>
      <c r="G63" s="396">
        <f>F63-E63</f>
        <v>0</v>
      </c>
      <c r="H63" s="366" t="s"/>
      <c r="I63" s="405" t="s"/>
      <c r="J63" s="406" t="s"/>
      <c r="K63" s="399" t="s"/>
      <c r="L63" s="86" t="s"/>
      <c r="M63" s="86" t="s"/>
      <c r="N63" s="86" t="s"/>
      <c r="O63" s="86" t="s"/>
      <c r="P63" s="86" t="s"/>
      <c r="Q63" s="86" t="s"/>
      <c r="R63" s="86" t="s"/>
      <c r="S63" s="86" t="s"/>
      <c r="T63" s="86" t="s"/>
      <c r="U63" s="86" t="s"/>
      <c r="V63" s="86" t="s"/>
      <c r="W63" s="86" t="s"/>
      <c r="X63" s="86" t="s"/>
    </row>
    <row r="64" spans="1:24" ht="22.5" customHeight="1">
      <c r="A64" s="390" t="s"/>
      <c r="B64" s="391" t="s"/>
      <c r="C64" s="392" t="s"/>
      <c r="D64" s="407" t="s"/>
      <c r="E64" s="394">
        <f>C64*10000</f>
        <v>0</v>
      </c>
      <c r="F64" s="394">
        <f>E64+E64*D64*B64/360</f>
        <v>0</v>
      </c>
      <c r="G64" s="396">
        <f>F64-E64</f>
        <v>0</v>
      </c>
      <c r="H64" s="366" t="s"/>
      <c r="I64" s="405" t="s"/>
      <c r="J64" s="406" t="s"/>
      <c r="K64" s="399" t="s"/>
      <c r="L64" s="86" t="s"/>
      <c r="M64" s="86" t="s"/>
      <c r="N64" s="86" t="s"/>
      <c r="O64" s="86" t="s"/>
      <c r="P64" s="86" t="s"/>
      <c r="Q64" s="86" t="s"/>
      <c r="R64" s="86" t="s"/>
      <c r="S64" s="86" t="s"/>
      <c r="T64" s="86" t="s"/>
      <c r="U64" s="86" t="s"/>
      <c r="V64" s="86" t="s"/>
      <c r="W64" s="86" t="s"/>
      <c r="X64" s="86" t="s"/>
    </row>
    <row r="65" spans="1:24" ht="22.5" customHeight="1">
      <c r="A65" s="390" t="s"/>
      <c r="B65" s="391" t="s"/>
      <c r="C65" s="392" t="s"/>
      <c r="D65" s="407" t="s"/>
      <c r="E65" s="394">
        <f>C65*10000</f>
        <v>0</v>
      </c>
      <c r="F65" s="394">
        <f>E65+E65*D65*B65/360</f>
        <v>0</v>
      </c>
      <c r="G65" s="396">
        <f>F65-E65</f>
        <v>0</v>
      </c>
      <c r="H65" s="366" t="s"/>
      <c r="I65" s="405" t="s"/>
      <c r="J65" s="406" t="s"/>
      <c r="K65" s="399" t="s"/>
      <c r="L65" s="86" t="s"/>
      <c r="M65" s="86" t="s"/>
      <c r="N65" s="86" t="s"/>
      <c r="O65" s="86" t="s"/>
      <c r="P65" s="86" t="s"/>
      <c r="Q65" s="86" t="s"/>
      <c r="R65" s="86" t="s"/>
      <c r="S65" s="86" t="s"/>
      <c r="T65" s="86" t="s"/>
      <c r="U65" s="86" t="s"/>
      <c r="V65" s="86" t="s"/>
      <c r="W65" s="86" t="s"/>
      <c r="X65" s="86" t="s"/>
    </row>
    <row r="66" spans="1:24" ht="22.5" customHeight="1">
      <c r="A66" s="390" t="s"/>
      <c r="B66" s="391" t="s"/>
      <c r="C66" s="392" t="s"/>
      <c r="D66" s="407" t="s"/>
      <c r="E66" s="394">
        <f>C66*10000</f>
        <v>0</v>
      </c>
      <c r="F66" s="394">
        <f>E66+E66*D66*B66/360</f>
        <v>0</v>
      </c>
      <c r="G66" s="396">
        <f>F66-E66</f>
        <v>0</v>
      </c>
      <c r="H66" s="366" t="s"/>
      <c r="I66" s="405" t="s"/>
      <c r="J66" s="406" t="s"/>
      <c r="K66" s="399" t="s"/>
      <c r="L66" s="86" t="s"/>
      <c r="M66" s="86" t="s"/>
      <c r="N66" s="86" t="s"/>
      <c r="O66" s="86" t="s"/>
      <c r="P66" s="86" t="s"/>
      <c r="Q66" s="86" t="s"/>
      <c r="R66" s="86" t="s"/>
      <c r="S66" s="86" t="s"/>
      <c r="T66" s="86" t="s"/>
      <c r="U66" s="86" t="s"/>
      <c r="V66" s="86" t="s"/>
      <c r="W66" s="86" t="s"/>
      <c r="X66" s="86" t="s"/>
    </row>
    <row r="67" spans="1:24" ht="22.5" customHeight="1">
      <c r="A67" s="390" t="s"/>
      <c r="B67" s="391" t="s"/>
      <c r="C67" s="392" t="s"/>
      <c r="D67" s="393" t="s"/>
      <c r="E67" s="394">
        <f>C67*10000</f>
        <v>0</v>
      </c>
      <c r="F67" s="394">
        <f>E67+E67*D67*B67/360</f>
        <v>0</v>
      </c>
      <c r="G67" s="396">
        <f>F67-E67</f>
        <v>0</v>
      </c>
      <c r="H67" s="366" t="s"/>
      <c r="I67" s="405" t="s"/>
      <c r="J67" s="406" t="s"/>
      <c r="K67" s="399" t="s"/>
      <c r="L67" s="86" t="s"/>
      <c r="M67" s="86" t="s"/>
      <c r="N67" s="86" t="s"/>
      <c r="O67" s="86" t="s"/>
      <c r="P67" s="86" t="s"/>
      <c r="Q67" s="86" t="s"/>
      <c r="R67" s="86" t="s"/>
      <c r="S67" s="86" t="s"/>
      <c r="T67" s="86" t="s"/>
      <c r="U67" s="86" t="s"/>
      <c r="V67" s="86" t="s"/>
      <c r="W67" s="86" t="s"/>
      <c r="X67" s="86" t="s"/>
    </row>
    <row r="68" spans="1:24" ht="22.5" customHeight="1">
      <c r="A68" s="390" t="s"/>
      <c r="B68" s="391" t="s"/>
      <c r="C68" s="392" t="s"/>
      <c r="D68" s="393" t="s"/>
      <c r="E68" s="394">
        <f>C68*10000</f>
        <v>0</v>
      </c>
      <c r="F68" s="394">
        <f>E68+E68*D68*B68/360</f>
        <v>0</v>
      </c>
      <c r="G68" s="396">
        <f>F68-E68</f>
        <v>0</v>
      </c>
      <c r="H68" s="366" t="s"/>
      <c r="I68" s="405" t="s"/>
      <c r="J68" s="406" t="s"/>
      <c r="K68" s="399" t="s"/>
      <c r="L68" s="86" t="s"/>
      <c r="M68" s="86" t="s"/>
      <c r="N68" s="86" t="s"/>
      <c r="O68" s="86" t="s"/>
      <c r="P68" s="86" t="s"/>
      <c r="Q68" s="86" t="s"/>
      <c r="R68" s="86" t="s"/>
      <c r="S68" s="86" t="s"/>
      <c r="T68" s="86" t="s"/>
      <c r="U68" s="86" t="s"/>
      <c r="V68" s="86" t="s"/>
      <c r="W68" s="86" t="s"/>
      <c r="X68" s="86" t="s"/>
    </row>
    <row r="69" spans="1:24" ht="22.5" customHeight="1">
      <c r="A69" s="390" t="s"/>
      <c r="B69" s="391" t="s"/>
      <c r="C69" s="392" t="s"/>
      <c r="D69" s="393" t="s"/>
      <c r="E69" s="394">
        <f>C69*10000</f>
        <v>0</v>
      </c>
      <c r="F69" s="394">
        <f>E69+E69*D69*B69/360</f>
        <v>0</v>
      </c>
      <c r="G69" s="396">
        <f>F69-E69</f>
        <v>0</v>
      </c>
      <c r="H69" s="366" t="s"/>
      <c r="I69" s="405" t="s"/>
      <c r="J69" s="406" t="s"/>
      <c r="K69" s="399" t="s"/>
      <c r="L69" s="86" t="s"/>
      <c r="M69" s="86" t="s"/>
      <c r="N69" s="86" t="s"/>
      <c r="O69" s="86" t="s"/>
      <c r="P69" s="86" t="s"/>
      <c r="Q69" s="86" t="s"/>
      <c r="R69" s="86" t="s"/>
      <c r="S69" s="86" t="s"/>
      <c r="T69" s="86" t="s"/>
      <c r="U69" s="86" t="s"/>
      <c r="V69" s="86" t="s"/>
      <c r="W69" s="86" t="s"/>
      <c r="X69" s="86" t="s"/>
    </row>
    <row r="70" spans="1:24" ht="22.5" customHeight="1">
      <c r="A70" s="390" t="s"/>
      <c r="B70" s="391" t="s"/>
      <c r="C70" s="392" t="s"/>
      <c r="D70" s="393" t="s"/>
      <c r="E70" s="394">
        <f>C70*10000</f>
        <v>0</v>
      </c>
      <c r="F70" s="394">
        <f>E70+E70*D70*B70/360</f>
        <v>0</v>
      </c>
      <c r="G70" s="396">
        <f>F70-E70</f>
        <v>0</v>
      </c>
      <c r="H70" s="366" t="s"/>
      <c r="I70" s="405" t="s"/>
      <c r="J70" s="406" t="s"/>
      <c r="K70" s="399" t="s"/>
      <c r="L70" s="86" t="s"/>
      <c r="M70" s="86" t="s"/>
      <c r="N70" s="86" t="s"/>
      <c r="O70" s="86" t="s"/>
      <c r="P70" s="86" t="s"/>
      <c r="Q70" s="86" t="s"/>
      <c r="R70" s="86" t="s"/>
      <c r="S70" s="86" t="s"/>
      <c r="T70" s="86" t="s"/>
      <c r="U70" s="86" t="s"/>
      <c r="V70" s="86" t="s"/>
      <c r="W70" s="86" t="s"/>
      <c r="X70" s="86" t="s"/>
    </row>
    <row r="71" spans="1:24" ht="22.5" customHeight="1">
      <c r="A71" s="390" t="s"/>
      <c r="B71" s="391" t="s"/>
      <c r="C71" s="392" t="s"/>
      <c r="D71" s="393" t="s"/>
      <c r="E71" s="394">
        <f>C71*10000</f>
        <v>0</v>
      </c>
      <c r="F71" s="394">
        <f>E71+E71*D71*B71/360</f>
        <v>0</v>
      </c>
      <c r="G71" s="396">
        <f>F71-E71</f>
        <v>0</v>
      </c>
      <c r="H71" s="366" t="s"/>
      <c r="I71" s="405" t="s"/>
      <c r="J71" s="406" t="s"/>
      <c r="K71" s="399" t="s"/>
      <c r="L71" s="86" t="s"/>
      <c r="M71" s="86" t="s"/>
      <c r="N71" s="86" t="s"/>
      <c r="O71" s="86" t="s"/>
      <c r="P71" s="86" t="s"/>
      <c r="Q71" s="86" t="s"/>
      <c r="R71" s="86" t="s"/>
      <c r="S71" s="86" t="s"/>
      <c r="T71" s="86" t="s"/>
      <c r="U71" s="86" t="s"/>
      <c r="V71" s="86" t="s"/>
      <c r="W71" s="86" t="s"/>
      <c r="X71" s="86" t="s"/>
    </row>
    <row r="72" spans="1:24" ht="22.5" customHeight="1">
      <c r="A72" s="390" t="s"/>
      <c r="B72" s="391" t="s"/>
      <c r="C72" s="392" t="s"/>
      <c r="D72" s="393" t="s"/>
      <c r="E72" s="394">
        <f>C72*10000</f>
        <v>0</v>
      </c>
      <c r="F72" s="394">
        <f>E72+E72*D72*B72/360</f>
        <v>0</v>
      </c>
      <c r="G72" s="396">
        <f>F72-E72</f>
        <v>0</v>
      </c>
      <c r="H72" s="366" t="s"/>
      <c r="I72" s="405" t="s"/>
      <c r="J72" s="406" t="s"/>
      <c r="K72" s="399" t="s"/>
      <c r="L72" s="86" t="s"/>
      <c r="M72" s="86" t="s"/>
      <c r="N72" s="86" t="s"/>
      <c r="O72" s="86" t="s"/>
      <c r="P72" s="86" t="s"/>
      <c r="Q72" s="86" t="s"/>
      <c r="R72" s="86" t="s"/>
      <c r="S72" s="86" t="s"/>
      <c r="T72" s="86" t="s"/>
      <c r="U72" s="86" t="s"/>
      <c r="V72" s="86" t="s"/>
      <c r="W72" s="86" t="s"/>
      <c r="X72" s="86" t="s"/>
    </row>
    <row r="73" spans="1:24" ht="22.5" customHeight="1">
      <c r="A73" s="390" t="s"/>
      <c r="B73" s="391" t="s"/>
      <c r="C73" s="392" t="s"/>
      <c r="D73" s="393" t="s"/>
      <c r="E73" s="394">
        <f>C73*10000</f>
        <v>0</v>
      </c>
      <c r="F73" s="394">
        <f>E73+E73*D73*B73/360</f>
        <v>0</v>
      </c>
      <c r="G73" s="396">
        <f>F73-E73</f>
        <v>0</v>
      </c>
      <c r="H73" s="366" t="s"/>
      <c r="I73" s="405" t="s"/>
      <c r="J73" s="406" t="s"/>
      <c r="K73" s="399" t="s"/>
      <c r="L73" s="86" t="s"/>
      <c r="M73" s="86" t="s"/>
      <c r="N73" s="86" t="s"/>
      <c r="O73" s="86" t="s"/>
      <c r="P73" s="86" t="s"/>
      <c r="Q73" s="86" t="s"/>
      <c r="R73" s="86" t="s"/>
      <c r="S73" s="86" t="s"/>
      <c r="T73" s="86" t="s"/>
      <c r="U73" s="86" t="s"/>
      <c r="V73" s="86" t="s"/>
      <c r="W73" s="86" t="s"/>
      <c r="X73" s="86" t="s"/>
    </row>
    <row r="74" spans="1:24" ht="22.5" customHeight="1">
      <c r="A74" s="390" t="s"/>
      <c r="B74" s="391" t="s"/>
      <c r="C74" s="392" t="s"/>
      <c r="D74" s="393" t="s"/>
      <c r="E74" s="394">
        <f>C74*10000</f>
        <v>0</v>
      </c>
      <c r="F74" s="394">
        <f>E74+E74*D74*B74/360</f>
        <v>0</v>
      </c>
      <c r="G74" s="396">
        <f>F74-E74</f>
        <v>0</v>
      </c>
      <c r="H74" s="366" t="s"/>
      <c r="I74" s="405" t="s"/>
      <c r="J74" s="406" t="s"/>
      <c r="K74" s="399" t="s"/>
      <c r="L74" s="86" t="s"/>
      <c r="M74" s="86" t="s"/>
      <c r="N74" s="86" t="s"/>
      <c r="O74" s="86" t="s"/>
      <c r="P74" s="86" t="s"/>
      <c r="Q74" s="86" t="s"/>
      <c r="R74" s="86" t="s"/>
      <c r="S74" s="86" t="s"/>
      <c r="T74" s="86" t="s"/>
      <c r="U74" s="86" t="s"/>
      <c r="V74" s="86" t="s"/>
      <c r="W74" s="86" t="s"/>
      <c r="X74" s="86" t="s"/>
    </row>
    <row r="75" spans="1:24" ht="22.5" customHeight="1">
      <c r="A75" s="390" t="s"/>
      <c r="B75" s="391" t="s"/>
      <c r="C75" s="392" t="s"/>
      <c r="D75" s="393" t="s"/>
      <c r="E75" s="394">
        <f>C75*10000</f>
        <v>0</v>
      </c>
      <c r="F75" s="394">
        <f>E75+E75*D75*B75/360</f>
        <v>0</v>
      </c>
      <c r="G75" s="396">
        <f>F75-E75</f>
        <v>0</v>
      </c>
      <c r="H75" s="366" t="s"/>
      <c r="I75" s="405" t="s"/>
      <c r="J75" s="406" t="s"/>
      <c r="K75" s="399" t="s"/>
      <c r="L75" s="86" t="s"/>
      <c r="M75" s="86" t="s"/>
      <c r="N75" s="86" t="s"/>
      <c r="O75" s="86" t="s"/>
      <c r="P75" s="86" t="s"/>
      <c r="Q75" s="86" t="s"/>
      <c r="R75" s="86" t="s"/>
      <c r="S75" s="86" t="s"/>
      <c r="T75" s="86" t="s"/>
      <c r="U75" s="86" t="s"/>
      <c r="V75" s="86" t="s"/>
      <c r="W75" s="86" t="s"/>
      <c r="X75" s="86" t="s"/>
    </row>
    <row r="76" spans="1:24" ht="22.5" customHeight="1">
      <c r="A76" s="390" t="s"/>
      <c r="B76" s="391" t="s"/>
      <c r="C76" s="392" t="s"/>
      <c r="D76" s="393" t="s"/>
      <c r="E76" s="394">
        <f>C76*10000</f>
        <v>0</v>
      </c>
      <c r="F76" s="394">
        <f>E76+E76*D76*B76/360</f>
        <v>0</v>
      </c>
      <c r="G76" s="396">
        <f>F76-E76</f>
        <v>0</v>
      </c>
      <c r="H76" s="366" t="s"/>
      <c r="I76" s="405" t="s"/>
      <c r="J76" s="406" t="s"/>
      <c r="K76" s="399" t="s"/>
      <c r="L76" s="86" t="s"/>
      <c r="M76" s="86" t="s"/>
      <c r="N76" s="86" t="s"/>
      <c r="O76" s="86" t="s"/>
      <c r="P76" s="86" t="s"/>
      <c r="Q76" s="86" t="s"/>
      <c r="R76" s="86" t="s"/>
      <c r="S76" s="86" t="s"/>
      <c r="T76" s="86" t="s"/>
      <c r="U76" s="86" t="s"/>
      <c r="V76" s="86" t="s"/>
      <c r="W76" s="86" t="s"/>
      <c r="X76" s="86" t="s"/>
    </row>
    <row r="77" spans="1:24" ht="22.5" customHeight="1">
      <c r="A77" s="390" t="s"/>
      <c r="B77" s="391" t="s"/>
      <c r="C77" s="392" t="s"/>
      <c r="D77" s="393" t="s"/>
      <c r="E77" s="394">
        <f>C77*10000</f>
        <v>0</v>
      </c>
      <c r="F77" s="394">
        <f>E77+E77*D77*B77/360</f>
        <v>0</v>
      </c>
      <c r="G77" s="396">
        <f>F77-E77</f>
        <v>0</v>
      </c>
      <c r="H77" s="366" t="s"/>
      <c r="I77" s="405" t="s"/>
      <c r="J77" s="406" t="s"/>
      <c r="K77" s="399" t="s"/>
      <c r="L77" s="86" t="s"/>
      <c r="M77" s="86" t="s"/>
      <c r="N77" s="86" t="s"/>
      <c r="O77" s="86" t="s"/>
      <c r="P77" s="86" t="s"/>
      <c r="Q77" s="86" t="s"/>
      <c r="R77" s="86" t="s"/>
      <c r="S77" s="86" t="s"/>
      <c r="T77" s="86" t="s"/>
      <c r="U77" s="86" t="s"/>
      <c r="V77" s="86" t="s"/>
      <c r="W77" s="86" t="s"/>
      <c r="X77" s="86" t="s"/>
    </row>
    <row r="78" spans="1:24" ht="22.5" customHeight="1">
      <c r="A78" s="390" t="s"/>
      <c r="B78" s="391" t="s"/>
      <c r="C78" s="392" t="s"/>
      <c r="D78" s="393" t="s"/>
      <c r="E78" s="394">
        <f>C78*10000</f>
        <v>0</v>
      </c>
      <c r="F78" s="394">
        <f>E78+E78*D78*B78/360</f>
        <v>0</v>
      </c>
      <c r="G78" s="396">
        <f>F78-E78</f>
        <v>0</v>
      </c>
      <c r="H78" s="366" t="s"/>
      <c r="I78" s="405" t="s"/>
      <c r="J78" s="406" t="s"/>
      <c r="K78" s="399" t="s"/>
      <c r="L78" s="86" t="s"/>
      <c r="M78" s="86" t="s"/>
      <c r="N78" s="86" t="s"/>
      <c r="O78" s="86" t="s"/>
      <c r="P78" s="86" t="s"/>
      <c r="Q78" s="86" t="s"/>
      <c r="R78" s="86" t="s"/>
      <c r="S78" s="86" t="s"/>
      <c r="T78" s="86" t="s"/>
      <c r="U78" s="86" t="s"/>
      <c r="V78" s="86" t="s"/>
      <c r="W78" s="86" t="s"/>
      <c r="X78" s="86" t="s"/>
    </row>
    <row r="79" spans="1:24" ht="22.5" customHeight="1">
      <c r="A79" s="390" t="s"/>
      <c r="B79" s="391" t="s"/>
      <c r="C79" s="392" t="s"/>
      <c r="D79" s="393" t="s"/>
      <c r="E79" s="394">
        <f>C79*10000</f>
        <v>0</v>
      </c>
      <c r="F79" s="394">
        <f>E79+E79*D79*B79/360</f>
        <v>0</v>
      </c>
      <c r="G79" s="396">
        <f>F79-E79</f>
        <v>0</v>
      </c>
      <c r="H79" s="366" t="s"/>
      <c r="I79" s="405" t="s"/>
      <c r="J79" s="406" t="s"/>
      <c r="K79" s="399" t="s"/>
      <c r="L79" s="86" t="s"/>
      <c r="M79" s="86" t="s"/>
      <c r="N79" s="86" t="s"/>
      <c r="O79" s="86" t="s"/>
      <c r="P79" s="86" t="s"/>
      <c r="Q79" s="86" t="s"/>
      <c r="R79" s="86" t="s"/>
      <c r="S79" s="86" t="s"/>
      <c r="T79" s="86" t="s"/>
      <c r="U79" s="86" t="s"/>
      <c r="V79" s="86" t="s"/>
      <c r="W79" s="86" t="s"/>
      <c r="X79" s="86" t="s"/>
    </row>
    <row r="80" spans="1:24" ht="22.5" customHeight="1">
      <c r="A80" s="390" t="s"/>
      <c r="B80" s="391" t="s"/>
      <c r="C80" s="392" t="s"/>
      <c r="D80" s="393" t="s"/>
      <c r="E80" s="394">
        <f>C80*10000</f>
        <v>0</v>
      </c>
      <c r="F80" s="394">
        <f>E80+E80*D80*B80/360</f>
        <v>0</v>
      </c>
      <c r="G80" s="396">
        <f>F80-E80</f>
        <v>0</v>
      </c>
      <c r="H80" s="366" t="s"/>
      <c r="I80" s="405" t="s"/>
      <c r="J80" s="406" t="s"/>
      <c r="K80" s="399" t="s"/>
      <c r="L80" s="86" t="s"/>
      <c r="M80" s="86" t="s"/>
      <c r="N80" s="86" t="s"/>
      <c r="O80" s="86" t="s"/>
      <c r="P80" s="86" t="s"/>
      <c r="Q80" s="86" t="s"/>
      <c r="R80" s="86" t="s"/>
      <c r="S80" s="86" t="s"/>
      <c r="T80" s="86" t="s"/>
      <c r="U80" s="86" t="s"/>
      <c r="V80" s="86" t="s"/>
      <c r="W80" s="86" t="s"/>
      <c r="X80" s="86" t="s"/>
    </row>
    <row r="81" spans="1:24" ht="22.5" customHeight="1">
      <c r="A81" s="390" t="s"/>
      <c r="B81" s="391" t="s"/>
      <c r="C81" s="392" t="s"/>
      <c r="D81" s="393" t="s"/>
      <c r="E81" s="394">
        <f>C81*10000</f>
        <v>0</v>
      </c>
      <c r="F81" s="394">
        <f>E81+E81*D81*B81/360</f>
        <v>0</v>
      </c>
      <c r="G81" s="396">
        <f>F81-E81</f>
        <v>0</v>
      </c>
      <c r="H81" s="366" t="s"/>
      <c r="I81" s="405" t="s"/>
      <c r="J81" s="406" t="s"/>
      <c r="K81" s="399" t="s"/>
      <c r="L81" s="86" t="s"/>
      <c r="M81" s="86" t="s"/>
      <c r="N81" s="86" t="s"/>
      <c r="O81" s="86" t="s"/>
      <c r="P81" s="86" t="s"/>
      <c r="Q81" s="86" t="s"/>
      <c r="R81" s="86" t="s"/>
      <c r="S81" s="86" t="s"/>
      <c r="T81" s="86" t="s"/>
      <c r="U81" s="86" t="s"/>
      <c r="V81" s="86" t="s"/>
      <c r="W81" s="86" t="s"/>
      <c r="X81" s="86" t="s"/>
    </row>
    <row r="82" spans="1:24" ht="22.5" customHeight="1">
      <c r="A82" s="390" t="s"/>
      <c r="B82" s="391" t="s"/>
      <c r="C82" s="392" t="s"/>
      <c r="D82" s="393" t="s"/>
      <c r="E82" s="394">
        <f>C82*10000</f>
        <v>0</v>
      </c>
      <c r="F82" s="394">
        <f>E82+E82*D82*B82/360</f>
        <v>0</v>
      </c>
      <c r="G82" s="396">
        <f>F82-E82</f>
        <v>0</v>
      </c>
      <c r="H82" s="366" t="s"/>
      <c r="I82" s="405" t="s"/>
      <c r="J82" s="406" t="s"/>
      <c r="K82" s="399" t="s"/>
      <c r="L82" s="86" t="s"/>
      <c r="M82" s="86" t="s"/>
      <c r="N82" s="86" t="s"/>
      <c r="O82" s="86" t="s"/>
      <c r="P82" s="86" t="s"/>
      <c r="Q82" s="86" t="s"/>
      <c r="R82" s="86" t="s"/>
      <c r="S82" s="86" t="s"/>
      <c r="T82" s="86" t="s"/>
      <c r="U82" s="86" t="s"/>
      <c r="V82" s="86" t="s"/>
      <c r="W82" s="86" t="s"/>
      <c r="X82" s="86" t="s"/>
    </row>
    <row r="83" spans="1:24" ht="22.5" customHeight="1">
      <c r="A83" s="390" t="s"/>
      <c r="B83" s="391" t="s"/>
      <c r="C83" s="392" t="s"/>
      <c r="D83" s="393" t="s"/>
      <c r="E83" s="394">
        <f>C83*10000</f>
        <v>0</v>
      </c>
      <c r="F83" s="394">
        <f>E83+E83*D83*B83/360</f>
        <v>0</v>
      </c>
      <c r="G83" s="396">
        <f>F83-E83</f>
        <v>0</v>
      </c>
      <c r="H83" s="366" t="s"/>
      <c r="I83" s="405" t="s"/>
      <c r="J83" s="406" t="s"/>
      <c r="K83" s="399" t="s"/>
      <c r="L83" s="86" t="s"/>
      <c r="M83" s="86" t="s"/>
      <c r="N83" s="86" t="s"/>
      <c r="O83" s="86" t="s"/>
      <c r="P83" s="86" t="s"/>
      <c r="Q83" s="86" t="s"/>
      <c r="R83" s="86" t="s"/>
      <c r="S83" s="86" t="s"/>
      <c r="T83" s="86" t="s"/>
      <c r="U83" s="86" t="s"/>
      <c r="V83" s="86" t="s"/>
      <c r="W83" s="86" t="s"/>
      <c r="X83" s="86" t="s"/>
    </row>
    <row r="84" spans="1:24" ht="22.5" customHeight="1">
      <c r="A84" s="390" t="s"/>
      <c r="B84" s="391" t="s"/>
      <c r="C84" s="392" t="s"/>
      <c r="D84" s="393" t="s"/>
      <c r="E84" s="394">
        <f>C84*10000</f>
        <v>0</v>
      </c>
      <c r="F84" s="394">
        <f>E84+E84*D84*B84/360</f>
        <v>0</v>
      </c>
      <c r="G84" s="396">
        <f>F84-E84</f>
        <v>0</v>
      </c>
      <c r="H84" s="366" t="s"/>
      <c r="I84" s="405" t="s"/>
      <c r="J84" s="406" t="s"/>
      <c r="K84" s="399" t="s"/>
      <c r="L84" s="86" t="s"/>
      <c r="M84" s="86" t="s"/>
      <c r="N84" s="86" t="s"/>
      <c r="O84" s="86" t="s"/>
      <c r="P84" s="86" t="s"/>
      <c r="Q84" s="86" t="s"/>
      <c r="R84" s="86" t="s"/>
      <c r="S84" s="86" t="s"/>
      <c r="T84" s="86" t="s"/>
      <c r="U84" s="86" t="s"/>
      <c r="V84" s="86" t="s"/>
      <c r="W84" s="86" t="s"/>
      <c r="X84" s="86" t="s"/>
    </row>
    <row r="85" spans="1:24" ht="22.5" customHeight="1">
      <c r="A85" s="390" t="s"/>
      <c r="B85" s="391" t="s"/>
      <c r="C85" s="392" t="s"/>
      <c r="D85" s="393" t="s"/>
      <c r="E85" s="394">
        <f>C85*10000</f>
        <v>0</v>
      </c>
      <c r="F85" s="394">
        <f>E85+E85*D85*B85/360</f>
        <v>0</v>
      </c>
      <c r="G85" s="396">
        <f>F85-E85</f>
        <v>0</v>
      </c>
      <c r="H85" s="366" t="s"/>
      <c r="I85" s="405" t="s"/>
      <c r="J85" s="406" t="s"/>
      <c r="K85" s="399" t="s"/>
      <c r="L85" s="86" t="s"/>
      <c r="M85" s="86" t="s"/>
      <c r="N85" s="86" t="s"/>
      <c r="O85" s="86" t="s"/>
      <c r="P85" s="86" t="s"/>
      <c r="Q85" s="86" t="s"/>
      <c r="R85" s="86" t="s"/>
      <c r="S85" s="86" t="s"/>
      <c r="T85" s="86" t="s"/>
      <c r="U85" s="86" t="s"/>
      <c r="V85" s="86" t="s"/>
      <c r="W85" s="86" t="s"/>
      <c r="X85" s="86" t="s"/>
    </row>
    <row r="86" spans="1:24" ht="22.5" customHeight="1">
      <c r="A86" s="390" t="s"/>
      <c r="B86" s="391" t="s"/>
      <c r="C86" s="392" t="s"/>
      <c r="D86" s="393" t="s"/>
      <c r="E86" s="394">
        <f>C86*10000</f>
        <v>0</v>
      </c>
      <c r="F86" s="394">
        <f>E86+E86*D86*B86/360</f>
        <v>0</v>
      </c>
      <c r="G86" s="396">
        <f>F86-E86</f>
        <v>0</v>
      </c>
      <c r="H86" s="366" t="s"/>
      <c r="I86" s="405" t="s"/>
      <c r="J86" s="406" t="s"/>
      <c r="K86" s="399" t="s"/>
      <c r="L86" s="86" t="s"/>
      <c r="M86" s="86" t="s"/>
      <c r="N86" s="86" t="s"/>
      <c r="O86" s="86" t="s"/>
      <c r="P86" s="86" t="s"/>
      <c r="Q86" s="86" t="s"/>
      <c r="R86" s="86" t="s"/>
      <c r="S86" s="86" t="s"/>
      <c r="T86" s="86" t="s"/>
      <c r="U86" s="86" t="s"/>
      <c r="V86" s="86" t="s"/>
      <c r="W86" s="86" t="s"/>
      <c r="X86" s="86" t="s"/>
    </row>
    <row r="87" spans="1:24" ht="22.5" customHeight="1">
      <c r="A87" s="390" t="s"/>
      <c r="B87" s="391" t="s"/>
      <c r="C87" s="392" t="s"/>
      <c r="D87" s="393" t="s"/>
      <c r="E87" s="394">
        <f>C87*10000</f>
        <v>0</v>
      </c>
      <c r="F87" s="394">
        <f>E87+E87*D87*B87/360</f>
        <v>0</v>
      </c>
      <c r="G87" s="396">
        <f>F87-E87</f>
        <v>0</v>
      </c>
      <c r="H87" s="366" t="s"/>
      <c r="I87" s="405" t="s"/>
      <c r="J87" s="406" t="s"/>
      <c r="K87" s="399" t="s"/>
      <c r="L87" s="86" t="s"/>
      <c r="M87" s="86" t="s"/>
      <c r="N87" s="86" t="s"/>
      <c r="O87" s="86" t="s"/>
      <c r="P87" s="86" t="s"/>
      <c r="Q87" s="86" t="s"/>
      <c r="R87" s="86" t="s"/>
      <c r="S87" s="86" t="s"/>
      <c r="T87" s="86" t="s"/>
      <c r="U87" s="86" t="s"/>
      <c r="V87" s="86" t="s"/>
      <c r="W87" s="86" t="s"/>
      <c r="X87" s="86" t="s"/>
    </row>
    <row r="88" spans="1:24" ht="22.5" customHeight="1">
      <c r="A88" s="390" t="s"/>
      <c r="B88" s="391" t="s"/>
      <c r="C88" s="392" t="s"/>
      <c r="D88" s="393" t="s"/>
      <c r="E88" s="394">
        <f>C88*10000</f>
        <v>0</v>
      </c>
      <c r="F88" s="394">
        <f>E88+E88*D88*B88/360</f>
        <v>0</v>
      </c>
      <c r="G88" s="396">
        <f>F88-E88</f>
        <v>0</v>
      </c>
      <c r="H88" s="366" t="s"/>
      <c r="I88" s="405" t="s"/>
      <c r="J88" s="406" t="s"/>
      <c r="K88" s="399" t="s"/>
      <c r="L88" s="86" t="s"/>
      <c r="M88" s="86" t="s"/>
      <c r="N88" s="86" t="s"/>
      <c r="O88" s="86" t="s"/>
      <c r="P88" s="86" t="s"/>
      <c r="Q88" s="86" t="s"/>
      <c r="R88" s="86" t="s"/>
      <c r="S88" s="86" t="s"/>
      <c r="T88" s="86" t="s"/>
      <c r="U88" s="86" t="s"/>
      <c r="V88" s="86" t="s"/>
      <c r="W88" s="86" t="s"/>
      <c r="X88" s="86" t="s"/>
    </row>
    <row r="89" spans="1:24" ht="22.5" customHeight="1">
      <c r="A89" s="390" t="s"/>
      <c r="B89" s="391" t="s"/>
      <c r="C89" s="392" t="s"/>
      <c r="D89" s="393" t="s"/>
      <c r="E89" s="394">
        <f>C89*10000</f>
        <v>0</v>
      </c>
      <c r="F89" s="394">
        <f>E89+E89*D89*B89/360</f>
        <v>0</v>
      </c>
      <c r="G89" s="396">
        <f>F89-E89</f>
        <v>0</v>
      </c>
      <c r="H89" s="366" t="s"/>
      <c r="I89" s="405" t="s"/>
      <c r="J89" s="406" t="s"/>
      <c r="K89" s="399" t="s"/>
      <c r="L89" s="86" t="s"/>
      <c r="M89" s="86" t="s"/>
      <c r="N89" s="86" t="s"/>
      <c r="O89" s="86" t="s"/>
      <c r="P89" s="86" t="s"/>
      <c r="Q89" s="86" t="s"/>
      <c r="R89" s="86" t="s"/>
      <c r="S89" s="86" t="s"/>
      <c r="T89" s="86" t="s"/>
      <c r="U89" s="86" t="s"/>
      <c r="V89" s="86" t="s"/>
      <c r="W89" s="86" t="s"/>
      <c r="X89" s="86" t="s"/>
    </row>
    <row r="90" spans="1:24" ht="22.5" customHeight="1">
      <c r="A90" s="390" t="s"/>
      <c r="B90" s="391" t="s"/>
      <c r="C90" s="392" t="s"/>
      <c r="D90" s="393" t="s"/>
      <c r="E90" s="394">
        <f>C90*10000</f>
        <v>0</v>
      </c>
      <c r="F90" s="394">
        <f>E90+E90*D90*B90/360</f>
        <v>0</v>
      </c>
      <c r="G90" s="396">
        <f>F90-E90</f>
        <v>0</v>
      </c>
      <c r="H90" s="366" t="s"/>
      <c r="I90" s="405" t="s"/>
      <c r="J90" s="406" t="s"/>
      <c r="K90" s="399" t="s"/>
      <c r="L90" s="86" t="s"/>
      <c r="M90" s="86" t="s"/>
      <c r="N90" s="86" t="s"/>
      <c r="O90" s="86" t="s"/>
      <c r="P90" s="86" t="s"/>
      <c r="Q90" s="86" t="s"/>
      <c r="R90" s="86" t="s"/>
      <c r="S90" s="86" t="s"/>
      <c r="T90" s="86" t="s"/>
      <c r="U90" s="86" t="s"/>
      <c r="V90" s="86" t="s"/>
      <c r="W90" s="86" t="s"/>
      <c r="X90" s="86" t="s"/>
    </row>
    <row r="91" spans="1:24" ht="22.5" customHeight="1">
      <c r="A91" s="390" t="s"/>
      <c r="B91" s="391" t="s"/>
      <c r="C91" s="392" t="s"/>
      <c r="D91" s="393" t="s"/>
      <c r="E91" s="394">
        <f>C91*10000</f>
        <v>0</v>
      </c>
      <c r="F91" s="394">
        <f>E91+E91*D91*B91/360</f>
        <v>0</v>
      </c>
      <c r="G91" s="396">
        <f>F91-E91</f>
        <v>0</v>
      </c>
      <c r="H91" s="366" t="s"/>
      <c r="I91" s="405" t="s"/>
      <c r="J91" s="406" t="s"/>
      <c r="K91" s="399" t="s"/>
      <c r="L91" s="86" t="s"/>
      <c r="M91" s="86" t="s"/>
      <c r="N91" s="86" t="s"/>
      <c r="O91" s="86" t="s"/>
      <c r="P91" s="86" t="s"/>
      <c r="Q91" s="86" t="s"/>
      <c r="R91" s="86" t="s"/>
      <c r="S91" s="86" t="s"/>
      <c r="T91" s="86" t="s"/>
      <c r="U91" s="86" t="s"/>
      <c r="V91" s="86" t="s"/>
      <c r="W91" s="86" t="s"/>
      <c r="X91" s="86" t="s"/>
    </row>
    <row r="92" spans="1:24" ht="22.5" customHeight="1">
      <c r="A92" s="390" t="s"/>
      <c r="B92" s="391" t="s"/>
      <c r="C92" s="392" t="s"/>
      <c r="D92" s="393" t="s"/>
      <c r="E92" s="394">
        <f>C92*10000</f>
        <v>0</v>
      </c>
      <c r="F92" s="394">
        <f>E92+E92*D92*B92/360</f>
        <v>0</v>
      </c>
      <c r="G92" s="396">
        <f>F92-E92</f>
        <v>0</v>
      </c>
      <c r="H92" s="366" t="s"/>
      <c r="I92" s="405" t="s"/>
      <c r="J92" s="406" t="s"/>
      <c r="K92" s="399" t="s"/>
      <c r="L92" s="86" t="s"/>
      <c r="M92" s="86" t="s"/>
      <c r="N92" s="86" t="s"/>
      <c r="O92" s="86" t="s"/>
      <c r="P92" s="86" t="s"/>
      <c r="Q92" s="86" t="s"/>
      <c r="R92" s="86" t="s"/>
      <c r="S92" s="86" t="s"/>
      <c r="T92" s="86" t="s"/>
      <c r="U92" s="86" t="s"/>
      <c r="V92" s="86" t="s"/>
      <c r="W92" s="86" t="s"/>
      <c r="X92" s="86" t="s"/>
    </row>
    <row r="93" spans="1:24" ht="22.5" customHeight="1">
      <c r="A93" s="390" t="s"/>
      <c r="B93" s="391" t="s"/>
      <c r="C93" s="392" t="s"/>
      <c r="D93" s="393" t="s"/>
      <c r="E93" s="394">
        <f>C93*10000</f>
        <v>0</v>
      </c>
      <c r="F93" s="394">
        <f>E93+E93*D93*B93/360</f>
        <v>0</v>
      </c>
      <c r="G93" s="396">
        <f>F93-E93</f>
        <v>0</v>
      </c>
      <c r="H93" s="366" t="s"/>
      <c r="I93" s="405" t="s"/>
      <c r="J93" s="406" t="s"/>
      <c r="K93" s="399" t="s"/>
      <c r="L93" s="86" t="s"/>
      <c r="M93" s="86" t="s"/>
      <c r="N93" s="86" t="s"/>
      <c r="O93" s="86" t="s"/>
      <c r="P93" s="86" t="s"/>
      <c r="Q93" s="86" t="s"/>
      <c r="R93" s="86" t="s"/>
      <c r="S93" s="86" t="s"/>
      <c r="T93" s="86" t="s"/>
      <c r="U93" s="86" t="s"/>
      <c r="V93" s="86" t="s"/>
      <c r="W93" s="86" t="s"/>
      <c r="X93" s="86" t="s"/>
    </row>
    <row r="94" spans="1:24" ht="22.5" customHeight="1">
      <c r="A94" s="390" t="s"/>
      <c r="B94" s="391" t="s"/>
      <c r="C94" s="392" t="s"/>
      <c r="D94" s="393" t="s"/>
      <c r="E94" s="394">
        <f>C94*10000</f>
        <v>0</v>
      </c>
      <c r="F94" s="394">
        <f>E94+E94*D94*B94/360</f>
        <v>0</v>
      </c>
      <c r="G94" s="396">
        <f>F94-E94</f>
        <v>0</v>
      </c>
      <c r="H94" s="366" t="s"/>
      <c r="I94" s="405" t="s"/>
      <c r="J94" s="406" t="s"/>
      <c r="K94" s="399" t="s"/>
      <c r="L94" s="86" t="s"/>
      <c r="M94" s="86" t="s"/>
      <c r="N94" s="86" t="s"/>
      <c r="O94" s="86" t="s"/>
      <c r="P94" s="86" t="s"/>
      <c r="Q94" s="86" t="s"/>
      <c r="R94" s="86" t="s"/>
      <c r="S94" s="86" t="s"/>
      <c r="T94" s="86" t="s"/>
      <c r="U94" s="86" t="s"/>
      <c r="V94" s="86" t="s"/>
      <c r="W94" s="86" t="s"/>
      <c r="X94" s="86" t="s"/>
    </row>
    <row r="95" spans="1:24" ht="22.5" customHeight="1">
      <c r="A95" s="390" t="s"/>
      <c r="B95" s="391" t="s"/>
      <c r="C95" s="392" t="s"/>
      <c r="D95" s="393" t="s"/>
      <c r="E95" s="394">
        <f>C95*10000</f>
        <v>0</v>
      </c>
      <c r="F95" s="394">
        <f>E95+E95*D95*B95/360</f>
        <v>0</v>
      </c>
      <c r="G95" s="396">
        <f>F95-E95</f>
        <v>0</v>
      </c>
      <c r="H95" s="366" t="s"/>
      <c r="I95" s="405" t="s"/>
      <c r="J95" s="406" t="s"/>
      <c r="K95" s="399" t="s"/>
      <c r="L95" s="86" t="s"/>
      <c r="M95" s="86" t="s"/>
      <c r="N95" s="86" t="s"/>
      <c r="O95" s="86" t="s"/>
      <c r="P95" s="86" t="s"/>
      <c r="Q95" s="86" t="s"/>
      <c r="R95" s="86" t="s"/>
      <c r="S95" s="86" t="s"/>
      <c r="T95" s="86" t="s"/>
      <c r="U95" s="86" t="s"/>
      <c r="V95" s="86" t="s"/>
      <c r="W95" s="86" t="s"/>
      <c r="X95" s="86" t="s"/>
    </row>
    <row r="96" spans="1:24" ht="22.5" customHeight="1">
      <c r="A96" s="390" t="s"/>
      <c r="B96" s="391" t="s"/>
      <c r="C96" s="392" t="s"/>
      <c r="D96" s="393" t="s"/>
      <c r="E96" s="394">
        <f>C96*10000</f>
        <v>0</v>
      </c>
      <c r="F96" s="394">
        <f>E96+E96*D96*B96/360</f>
        <v>0</v>
      </c>
      <c r="G96" s="396">
        <f>F96-E96</f>
        <v>0</v>
      </c>
      <c r="H96" s="366" t="s"/>
      <c r="I96" s="405" t="s"/>
      <c r="J96" s="406" t="s"/>
      <c r="K96" s="399" t="s"/>
      <c r="L96" s="86" t="s"/>
      <c r="M96" s="86" t="s"/>
      <c r="N96" s="86" t="s"/>
      <c r="O96" s="86" t="s"/>
      <c r="P96" s="86" t="s"/>
      <c r="Q96" s="86" t="s"/>
      <c r="R96" s="86" t="s"/>
      <c r="S96" s="86" t="s"/>
      <c r="T96" s="86" t="s"/>
      <c r="U96" s="86" t="s"/>
      <c r="V96" s="86" t="s"/>
      <c r="W96" s="86" t="s"/>
      <c r="X96" s="86" t="s"/>
    </row>
    <row r="97" spans="1:24" ht="22.5" customHeight="1">
      <c r="A97" s="390" t="s"/>
      <c r="B97" s="391" t="s"/>
      <c r="C97" s="392" t="s"/>
      <c r="D97" s="393" t="s"/>
      <c r="E97" s="394">
        <f>C97*10000</f>
        <v>0</v>
      </c>
      <c r="F97" s="394">
        <f>E97+E97*D97*B97/360</f>
        <v>0</v>
      </c>
      <c r="G97" s="396">
        <f>F97-E97</f>
        <v>0</v>
      </c>
      <c r="H97" s="366" t="s"/>
      <c r="I97" s="405" t="s"/>
      <c r="J97" s="406" t="s"/>
      <c r="K97" s="399" t="s"/>
      <c r="L97" s="86" t="s"/>
      <c r="M97" s="86" t="s"/>
      <c r="N97" s="86" t="s"/>
      <c r="O97" s="86" t="s"/>
      <c r="P97" s="86" t="s"/>
      <c r="Q97" s="86" t="s"/>
      <c r="R97" s="86" t="s"/>
      <c r="S97" s="86" t="s"/>
      <c r="T97" s="86" t="s"/>
      <c r="U97" s="86" t="s"/>
      <c r="V97" s="86" t="s"/>
      <c r="W97" s="86" t="s"/>
      <c r="X97" s="86" t="s"/>
    </row>
    <row r="98" spans="1:24" ht="22.5" customHeight="1">
      <c r="A98" s="390" t="s"/>
      <c r="B98" s="391" t="s"/>
      <c r="C98" s="392" t="s"/>
      <c r="D98" s="393" t="s"/>
      <c r="E98" s="394">
        <f>C98*10000</f>
        <v>0</v>
      </c>
      <c r="F98" s="394">
        <f>E98+E98*D98*B98/360</f>
        <v>0</v>
      </c>
      <c r="G98" s="396">
        <f>F98-E98</f>
        <v>0</v>
      </c>
      <c r="H98" s="366" t="s"/>
      <c r="I98" s="405" t="s"/>
      <c r="J98" s="406" t="s"/>
      <c r="K98" s="399" t="s"/>
      <c r="L98" s="86" t="s"/>
      <c r="M98" s="86" t="s"/>
      <c r="N98" s="86" t="s"/>
      <c r="O98" s="86" t="s"/>
      <c r="P98" s="86" t="s"/>
      <c r="Q98" s="86" t="s"/>
      <c r="R98" s="86" t="s"/>
      <c r="S98" s="86" t="s"/>
      <c r="T98" s="86" t="s"/>
      <c r="U98" s="86" t="s"/>
      <c r="V98" s="86" t="s"/>
      <c r="W98" s="86" t="s"/>
      <c r="X98" s="86" t="s"/>
    </row>
    <row r="99" spans="1:24" ht="22.5" customHeight="1">
      <c r="A99" s="390" t="s"/>
      <c r="B99" s="391" t="s"/>
      <c r="C99" s="392" t="s"/>
      <c r="D99" s="393" t="s"/>
      <c r="E99" s="394">
        <f>C99*10000</f>
        <v>0</v>
      </c>
      <c r="F99" s="394">
        <f>E99+E99*D99*B99/360</f>
        <v>0</v>
      </c>
      <c r="G99" s="396">
        <f>F99-E99</f>
        <v>0</v>
      </c>
      <c r="H99" s="366" t="s"/>
      <c r="I99" s="405" t="s"/>
      <c r="J99" s="406" t="s"/>
      <c r="K99" s="399" t="s"/>
      <c r="L99" s="86" t="s"/>
      <c r="M99" s="86" t="s"/>
      <c r="N99" s="86" t="s"/>
      <c r="O99" s="86" t="s"/>
      <c r="P99" s="86" t="s"/>
      <c r="Q99" s="86" t="s"/>
      <c r="R99" s="86" t="s"/>
      <c r="S99" s="86" t="s"/>
      <c r="T99" s="86" t="s"/>
      <c r="U99" s="86" t="s"/>
      <c r="V99" s="86" t="s"/>
      <c r="W99" s="86" t="s"/>
      <c r="X99" s="86" t="s"/>
    </row>
    <row r="100" spans="1:24" ht="22.5" customHeight="1">
      <c r="A100" s="390" t="s"/>
      <c r="B100" s="391" t="s"/>
      <c r="C100" s="392" t="s"/>
      <c r="D100" s="393" t="s"/>
      <c r="E100" s="394">
        <f>C100*10000</f>
        <v>0</v>
      </c>
      <c r="F100" s="394">
        <f>E100+E100*D100*B100/360</f>
        <v>0</v>
      </c>
      <c r="G100" s="396">
        <f>F100-E100</f>
        <v>0</v>
      </c>
      <c r="H100" s="366" t="s"/>
      <c r="I100" s="405" t="s"/>
      <c r="J100" s="406" t="s"/>
      <c r="K100" s="399" t="s"/>
      <c r="L100" s="86" t="s"/>
      <c r="M100" s="86" t="s"/>
      <c r="N100" s="86" t="s"/>
      <c r="O100" s="86" t="s"/>
      <c r="P100" s="86" t="s"/>
      <c r="Q100" s="86" t="s"/>
      <c r="R100" s="86" t="s"/>
      <c r="S100" s="86" t="s"/>
      <c r="T100" s="86" t="s"/>
      <c r="U100" s="86" t="s"/>
      <c r="V100" s="86" t="s"/>
      <c r="W100" s="86" t="s"/>
      <c r="X100" s="86" t="s"/>
    </row>
    <row r="101" spans="1:24" ht="22.5" customHeight="1">
      <c r="A101" s="390" t="s"/>
      <c r="B101" s="391" t="s"/>
      <c r="C101" s="392" t="s"/>
      <c r="D101" s="393" t="s"/>
      <c r="E101" s="394">
        <f>C101*10000</f>
        <v>0</v>
      </c>
      <c r="F101" s="394">
        <f>E101+E101*D101*B101/360</f>
        <v>0</v>
      </c>
      <c r="G101" s="396">
        <f>F101-E101</f>
        <v>0</v>
      </c>
      <c r="H101" s="366" t="s"/>
      <c r="I101" s="405" t="s"/>
      <c r="J101" s="406" t="s"/>
      <c r="K101" s="399" t="s"/>
      <c r="L101" s="86" t="s"/>
      <c r="M101" s="86" t="s"/>
      <c r="N101" s="86" t="s"/>
      <c r="O101" s="86" t="s"/>
      <c r="P101" s="86" t="s"/>
      <c r="Q101" s="86" t="s"/>
      <c r="R101" s="86" t="s"/>
      <c r="S101" s="86" t="s"/>
      <c r="T101" s="86" t="s"/>
      <c r="U101" s="86" t="s"/>
      <c r="V101" s="86" t="s"/>
      <c r="W101" s="86" t="s"/>
      <c r="X101" s="86" t="s"/>
    </row>
    <row r="102" spans="1:24" ht="22.5" customHeight="1">
      <c r="A102" s="390" t="s"/>
      <c r="B102" s="391" t="s"/>
      <c r="C102" s="392" t="s"/>
      <c r="D102" s="393" t="s"/>
      <c r="E102" s="394">
        <f>C102*10000</f>
        <v>0</v>
      </c>
      <c r="F102" s="394">
        <f>E102+E102*D102*B102/360</f>
        <v>0</v>
      </c>
      <c r="G102" s="396">
        <f>F102-E102</f>
        <v>0</v>
      </c>
      <c r="H102" s="366" t="s"/>
      <c r="I102" s="405" t="s"/>
      <c r="J102" s="406" t="s"/>
      <c r="K102" s="399" t="s"/>
      <c r="L102" s="86" t="s"/>
      <c r="M102" s="86" t="s"/>
      <c r="N102" s="86" t="s"/>
      <c r="O102" s="86" t="s"/>
      <c r="P102" s="86" t="s"/>
      <c r="Q102" s="86" t="s"/>
      <c r="R102" s="86" t="s"/>
      <c r="S102" s="86" t="s"/>
      <c r="T102" s="86" t="s"/>
      <c r="U102" s="86" t="s"/>
      <c r="V102" s="86" t="s"/>
      <c r="W102" s="86" t="s"/>
      <c r="X102" s="86" t="s"/>
    </row>
    <row r="103" spans="1:24" ht="22.5" customHeight="1">
      <c r="A103" s="390" t="s"/>
      <c r="B103" s="391" t="s"/>
      <c r="C103" s="392" t="s"/>
      <c r="D103" s="393" t="s"/>
      <c r="E103" s="394">
        <f>C103*10000</f>
        <v>0</v>
      </c>
      <c r="F103" s="394">
        <f>E103+E103*D103*B103/360</f>
        <v>0</v>
      </c>
      <c r="G103" s="396">
        <f>F103-E103</f>
        <v>0</v>
      </c>
      <c r="H103" s="366" t="s"/>
      <c r="I103" s="405" t="s"/>
      <c r="J103" s="406" t="s"/>
      <c r="K103" s="399" t="s"/>
      <c r="L103" s="86" t="s"/>
      <c r="M103" s="86" t="s"/>
      <c r="N103" s="86" t="s"/>
      <c r="O103" s="86" t="s"/>
      <c r="P103" s="86" t="s"/>
      <c r="Q103" s="86" t="s"/>
      <c r="R103" s="86" t="s"/>
      <c r="S103" s="86" t="s"/>
      <c r="T103" s="86" t="s"/>
      <c r="U103" s="86" t="s"/>
      <c r="V103" s="86" t="s"/>
      <c r="W103" s="86" t="s"/>
      <c r="X103" s="86" t="s"/>
    </row>
    <row r="104" spans="1:24" ht="22.5" customHeight="1">
      <c r="A104" s="390" t="s"/>
      <c r="B104" s="391" t="s"/>
      <c r="C104" s="392" t="s"/>
      <c r="D104" s="393" t="s"/>
      <c r="E104" s="394">
        <f>C104*10000</f>
        <v>0</v>
      </c>
      <c r="F104" s="394">
        <f>E104+E104*D104*B104/360</f>
        <v>0</v>
      </c>
      <c r="G104" s="396">
        <f>F104-E104</f>
        <v>0</v>
      </c>
      <c r="H104" s="366" t="s"/>
      <c r="I104" s="405" t="s"/>
      <c r="J104" s="406" t="s"/>
      <c r="K104" s="399" t="s"/>
      <c r="L104" s="86" t="s"/>
      <c r="M104" s="86" t="s"/>
      <c r="N104" s="86" t="s"/>
      <c r="O104" s="86" t="s"/>
      <c r="P104" s="86" t="s"/>
      <c r="Q104" s="86" t="s"/>
      <c r="R104" s="86" t="s"/>
      <c r="S104" s="86" t="s"/>
      <c r="T104" s="86" t="s"/>
      <c r="U104" s="86" t="s"/>
      <c r="V104" s="86" t="s"/>
      <c r="W104" s="86" t="s"/>
      <c r="X104" s="86" t="s"/>
    </row>
    <row r="105" spans="1:24" ht="22.5" customHeight="1">
      <c r="A105" s="390" t="s"/>
      <c r="B105" s="391" t="s"/>
      <c r="C105" s="392" t="s"/>
      <c r="D105" s="393" t="s"/>
      <c r="E105" s="394">
        <f>C105*10000</f>
        <v>0</v>
      </c>
      <c r="F105" s="394">
        <f>E105+E105*D105*B105/360</f>
        <v>0</v>
      </c>
      <c r="G105" s="396">
        <f>F105-E105</f>
        <v>0</v>
      </c>
      <c r="H105" s="366" t="s"/>
      <c r="I105" s="405" t="s"/>
      <c r="J105" s="406" t="s"/>
      <c r="K105" s="399" t="s"/>
      <c r="L105" s="86" t="s"/>
      <c r="M105" s="86" t="s"/>
      <c r="N105" s="86" t="s"/>
      <c r="O105" s="86" t="s"/>
      <c r="P105" s="86" t="s"/>
      <c r="Q105" s="86" t="s"/>
      <c r="R105" s="86" t="s"/>
      <c r="S105" s="86" t="s"/>
      <c r="T105" s="86" t="s"/>
      <c r="U105" s="86" t="s"/>
      <c r="V105" s="86" t="s"/>
      <c r="W105" s="86" t="s"/>
      <c r="X105" s="86" t="s"/>
    </row>
    <row r="106" spans="1:24" ht="22.5" customHeight="1">
      <c r="A106" s="390" t="s"/>
      <c r="B106" s="391" t="s"/>
      <c r="C106" s="392" t="s"/>
      <c r="D106" s="393" t="s"/>
      <c r="E106" s="394">
        <f>C106*10000</f>
        <v>0</v>
      </c>
      <c r="F106" s="394">
        <f>E106+E106*D106*B106/360</f>
        <v>0</v>
      </c>
      <c r="G106" s="396">
        <f>F106-E106</f>
        <v>0</v>
      </c>
      <c r="H106" s="366" t="s"/>
      <c r="I106" s="405" t="s"/>
      <c r="J106" s="406" t="s"/>
      <c r="K106" s="399" t="s"/>
      <c r="L106" s="86" t="s"/>
      <c r="M106" s="86" t="s"/>
      <c r="N106" s="86" t="s"/>
      <c r="O106" s="86" t="s"/>
      <c r="P106" s="86" t="s"/>
      <c r="Q106" s="86" t="s"/>
      <c r="R106" s="86" t="s"/>
      <c r="S106" s="86" t="s"/>
      <c r="T106" s="86" t="s"/>
      <c r="U106" s="86" t="s"/>
      <c r="V106" s="86" t="s"/>
      <c r="W106" s="86" t="s"/>
      <c r="X106" s="86" t="s"/>
    </row>
    <row r="107" spans="1:24" ht="22.5" customHeight="1">
      <c r="A107" s="390" t="s"/>
      <c r="B107" s="391" t="s"/>
      <c r="C107" s="392" t="s"/>
      <c r="D107" s="393" t="s"/>
      <c r="E107" s="394">
        <f>C107*10000</f>
        <v>0</v>
      </c>
      <c r="F107" s="394">
        <f>E107+E107*D107*B107/360</f>
        <v>0</v>
      </c>
      <c r="G107" s="396">
        <f>F107-E107</f>
        <v>0</v>
      </c>
      <c r="H107" s="366" t="s"/>
      <c r="I107" s="405" t="s"/>
      <c r="J107" s="406" t="s"/>
      <c r="K107" s="399" t="s"/>
      <c r="L107" s="86" t="s"/>
      <c r="M107" s="86" t="s"/>
      <c r="N107" s="86" t="s"/>
      <c r="O107" s="86" t="s"/>
      <c r="P107" s="86" t="s"/>
      <c r="Q107" s="86" t="s"/>
      <c r="R107" s="86" t="s"/>
      <c r="S107" s="86" t="s"/>
      <c r="T107" s="86" t="s"/>
      <c r="U107" s="86" t="s"/>
      <c r="V107" s="86" t="s"/>
      <c r="W107" s="86" t="s"/>
      <c r="X107" s="86" t="s"/>
    </row>
    <row r="108" spans="1:24" ht="22.5" customHeight="1">
      <c r="A108" s="390" t="s"/>
      <c r="B108" s="391" t="s"/>
      <c r="C108" s="392" t="s"/>
      <c r="D108" s="393" t="s"/>
      <c r="E108" s="394">
        <f>C108*10000</f>
        <v>0</v>
      </c>
      <c r="F108" s="394">
        <f>E108+E108*D108*B108/360</f>
        <v>0</v>
      </c>
      <c r="G108" s="396">
        <f>F108-E108</f>
        <v>0</v>
      </c>
      <c r="H108" s="366" t="s"/>
      <c r="I108" s="405" t="s"/>
      <c r="J108" s="406" t="s"/>
      <c r="K108" s="399" t="s"/>
      <c r="L108" s="86" t="s"/>
      <c r="M108" s="86" t="s"/>
      <c r="N108" s="86" t="s"/>
      <c r="O108" s="86" t="s"/>
      <c r="P108" s="86" t="s"/>
      <c r="Q108" s="86" t="s"/>
      <c r="R108" s="86" t="s"/>
      <c r="S108" s="86" t="s"/>
      <c r="T108" s="86" t="s"/>
      <c r="U108" s="86" t="s"/>
      <c r="V108" s="86" t="s"/>
      <c r="W108" s="86" t="s"/>
      <c r="X108" s="86" t="s"/>
    </row>
    <row r="109" spans="1:24" ht="22.5" customHeight="1">
      <c r="A109" s="390" t="s"/>
      <c r="B109" s="391" t="s"/>
      <c r="C109" s="392" t="s"/>
      <c r="D109" s="393" t="s"/>
      <c r="E109" s="394">
        <f>C109*10000</f>
        <v>0</v>
      </c>
      <c r="F109" s="394">
        <f>E109+E109*D109*B109/360</f>
        <v>0</v>
      </c>
      <c r="G109" s="396">
        <f>F109-E109</f>
        <v>0</v>
      </c>
      <c r="H109" s="366" t="s"/>
      <c r="I109" s="405" t="s"/>
      <c r="J109" s="406" t="s"/>
      <c r="K109" s="399" t="s"/>
      <c r="L109" s="86" t="s"/>
      <c r="M109" s="86" t="s"/>
      <c r="N109" s="86" t="s"/>
      <c r="O109" s="86" t="s"/>
      <c r="P109" s="86" t="s"/>
      <c r="Q109" s="86" t="s"/>
      <c r="R109" s="86" t="s"/>
      <c r="S109" s="86" t="s"/>
      <c r="T109" s="86" t="s"/>
      <c r="U109" s="86" t="s"/>
      <c r="V109" s="86" t="s"/>
      <c r="W109" s="86" t="s"/>
      <c r="X109" s="86" t="s"/>
    </row>
    <row r="110" spans="1:24" ht="22.5" customHeight="1">
      <c r="A110" s="390" t="s"/>
      <c r="B110" s="391" t="s"/>
      <c r="C110" s="392" t="s"/>
      <c r="D110" s="393" t="s"/>
      <c r="E110" s="394">
        <f>C110*10000</f>
        <v>0</v>
      </c>
      <c r="F110" s="394">
        <f>E110+E110*D110*B110/360</f>
        <v>0</v>
      </c>
      <c r="G110" s="396">
        <f>F110-E110</f>
        <v>0</v>
      </c>
      <c r="H110" s="366" t="s"/>
      <c r="I110" s="405" t="s"/>
      <c r="J110" s="406" t="s"/>
      <c r="K110" s="399" t="s"/>
      <c r="L110" s="86" t="s"/>
      <c r="M110" s="86" t="s"/>
      <c r="N110" s="86" t="s"/>
      <c r="O110" s="86" t="s"/>
      <c r="P110" s="86" t="s"/>
      <c r="Q110" s="86" t="s"/>
      <c r="R110" s="86" t="s"/>
      <c r="S110" s="86" t="s"/>
      <c r="T110" s="86" t="s"/>
      <c r="U110" s="86" t="s"/>
      <c r="V110" s="86" t="s"/>
      <c r="W110" s="86" t="s"/>
      <c r="X110" s="86" t="s"/>
    </row>
    <row r="111" spans="1:24" ht="22.5" customHeight="1">
      <c r="A111" s="390" t="s"/>
      <c r="B111" s="391" t="s"/>
      <c r="C111" s="392" t="s"/>
      <c r="D111" s="393" t="s"/>
      <c r="E111" s="394">
        <f>C111*10000</f>
        <v>0</v>
      </c>
      <c r="F111" s="394">
        <f>E111+E111*D111*B111/360</f>
        <v>0</v>
      </c>
      <c r="G111" s="396">
        <f>F111-E111</f>
        <v>0</v>
      </c>
      <c r="H111" s="366" t="s"/>
      <c r="I111" s="405" t="s"/>
      <c r="J111" s="406" t="s"/>
      <c r="K111" s="399" t="s"/>
      <c r="L111" s="86" t="s"/>
      <c r="M111" s="86" t="s"/>
      <c r="N111" s="86" t="s"/>
      <c r="O111" s="86" t="s"/>
      <c r="P111" s="86" t="s"/>
      <c r="Q111" s="86" t="s"/>
      <c r="R111" s="86" t="s"/>
      <c r="S111" s="86" t="s"/>
      <c r="T111" s="86" t="s"/>
      <c r="U111" s="86" t="s"/>
      <c r="V111" s="86" t="s"/>
      <c r="W111" s="86" t="s"/>
      <c r="X111" s="86" t="s"/>
    </row>
    <row r="112" spans="1:24" ht="22.5" customHeight="1">
      <c r="A112" s="390" t="s"/>
      <c r="B112" s="391" t="s"/>
      <c r="C112" s="392" t="s"/>
      <c r="D112" s="393" t="s"/>
      <c r="E112" s="394">
        <f>C112*10000</f>
        <v>0</v>
      </c>
      <c r="F112" s="394">
        <f>E112+E112*D112*B112/360</f>
        <v>0</v>
      </c>
      <c r="G112" s="396">
        <f>F112-E112</f>
        <v>0</v>
      </c>
      <c r="H112" s="366" t="s"/>
      <c r="I112" s="405" t="s"/>
      <c r="J112" s="406" t="s"/>
      <c r="K112" s="399" t="s"/>
      <c r="L112" s="86" t="s"/>
      <c r="M112" s="86" t="s"/>
      <c r="N112" s="86" t="s"/>
      <c r="O112" s="86" t="s"/>
      <c r="P112" s="86" t="s"/>
      <c r="Q112" s="86" t="s"/>
      <c r="R112" s="86" t="s"/>
      <c r="S112" s="86" t="s"/>
      <c r="T112" s="86" t="s"/>
      <c r="U112" s="86" t="s"/>
      <c r="V112" s="86" t="s"/>
      <c r="W112" s="86" t="s"/>
      <c r="X112" s="86" t="s"/>
    </row>
    <row r="113" spans="1:24" ht="22.5" customHeight="1">
      <c r="A113" s="390" t="s"/>
      <c r="B113" s="391" t="s"/>
      <c r="C113" s="392" t="s"/>
      <c r="D113" s="393" t="s"/>
      <c r="E113" s="394">
        <f>C113*10000</f>
        <v>0</v>
      </c>
      <c r="F113" s="394">
        <f>E113+E113*D113*B113/360</f>
        <v>0</v>
      </c>
      <c r="G113" s="396">
        <f>F113-E113</f>
        <v>0</v>
      </c>
      <c r="H113" s="366" t="s"/>
      <c r="I113" s="405" t="s"/>
      <c r="J113" s="406" t="s"/>
      <c r="K113" s="399" t="s"/>
      <c r="L113" s="86" t="s"/>
      <c r="M113" s="86" t="s"/>
      <c r="N113" s="86" t="s"/>
      <c r="O113" s="86" t="s"/>
      <c r="P113" s="86" t="s"/>
      <c r="Q113" s="86" t="s"/>
      <c r="R113" s="86" t="s"/>
      <c r="S113" s="86" t="s"/>
      <c r="T113" s="86" t="s"/>
      <c r="U113" s="86" t="s"/>
      <c r="V113" s="86" t="s"/>
      <c r="W113" s="86" t="s"/>
      <c r="X113" s="86" t="s"/>
    </row>
    <row r="114" spans="1:24" ht="22.5" customHeight="1">
      <c r="A114" s="390" t="s"/>
      <c r="B114" s="391" t="s"/>
      <c r="C114" s="392" t="s"/>
      <c r="D114" s="393" t="s"/>
      <c r="E114" s="394">
        <f>C114*10000</f>
        <v>0</v>
      </c>
      <c r="F114" s="394">
        <f>E114+E114*D114*B114/360</f>
        <v>0</v>
      </c>
      <c r="G114" s="396">
        <f>F114-E114</f>
        <v>0</v>
      </c>
      <c r="H114" s="366" t="s"/>
      <c r="I114" s="405" t="s"/>
      <c r="J114" s="406" t="s"/>
      <c r="K114" s="399" t="s"/>
      <c r="L114" s="86" t="s"/>
      <c r="M114" s="86" t="s"/>
      <c r="N114" s="86" t="s"/>
      <c r="O114" s="86" t="s"/>
      <c r="P114" s="86" t="s"/>
      <c r="Q114" s="86" t="s"/>
      <c r="R114" s="86" t="s"/>
      <c r="S114" s="86" t="s"/>
      <c r="T114" s="86" t="s"/>
      <c r="U114" s="86" t="s"/>
      <c r="V114" s="86" t="s"/>
      <c r="W114" s="86" t="s"/>
      <c r="X114" s="86" t="s"/>
    </row>
    <row r="115" spans="1:24" ht="22.5" customHeight="1">
      <c r="A115" s="390" t="s"/>
      <c r="B115" s="391" t="s"/>
      <c r="C115" s="392" t="s"/>
      <c r="D115" s="393" t="s"/>
      <c r="E115" s="394">
        <f>C115*10000</f>
        <v>0</v>
      </c>
      <c r="F115" s="394">
        <f>E115+E115*D115*B115/360</f>
        <v>0</v>
      </c>
      <c r="G115" s="396">
        <f>F115-E115</f>
        <v>0</v>
      </c>
      <c r="H115" s="366" t="s"/>
      <c r="I115" s="405" t="s"/>
      <c r="J115" s="406" t="s"/>
      <c r="K115" s="399" t="s"/>
      <c r="L115" s="86" t="s"/>
      <c r="M115" s="86" t="s"/>
      <c r="N115" s="86" t="s"/>
      <c r="O115" s="86" t="s"/>
      <c r="P115" s="86" t="s"/>
      <c r="Q115" s="86" t="s"/>
      <c r="R115" s="86" t="s"/>
      <c r="S115" s="86" t="s"/>
      <c r="T115" s="86" t="s"/>
      <c r="U115" s="86" t="s"/>
      <c r="V115" s="86" t="s"/>
      <c r="W115" s="86" t="s"/>
      <c r="X115" s="86" t="s"/>
    </row>
    <row r="116" spans="1:24" ht="22.5" customHeight="1">
      <c r="A116" s="390" t="s"/>
      <c r="B116" s="391" t="s"/>
      <c r="C116" s="392" t="s"/>
      <c r="D116" s="393" t="s"/>
      <c r="E116" s="394">
        <f>C116*10000</f>
        <v>0</v>
      </c>
      <c r="F116" s="394">
        <f>E116+E116*D116*B116/360</f>
        <v>0</v>
      </c>
      <c r="G116" s="396">
        <f>F116-E116</f>
        <v>0</v>
      </c>
      <c r="H116" s="366" t="s"/>
      <c r="I116" s="405" t="s"/>
      <c r="J116" s="406" t="s"/>
      <c r="K116" s="399" t="s"/>
      <c r="L116" s="86" t="s"/>
      <c r="M116" s="86" t="s"/>
      <c r="N116" s="86" t="s"/>
      <c r="O116" s="86" t="s"/>
      <c r="P116" s="86" t="s"/>
      <c r="Q116" s="86" t="s"/>
      <c r="R116" s="86" t="s"/>
      <c r="S116" s="86" t="s"/>
      <c r="T116" s="86" t="s"/>
      <c r="U116" s="86" t="s"/>
      <c r="V116" s="86" t="s"/>
      <c r="W116" s="86" t="s"/>
      <c r="X116" s="86" t="s"/>
    </row>
    <row r="117" spans="1:24" ht="22.5" customHeight="1">
      <c r="A117" s="390" t="s"/>
      <c r="B117" s="391" t="s"/>
      <c r="C117" s="392" t="s"/>
      <c r="D117" s="393" t="s"/>
      <c r="E117" s="394">
        <f>C117*10000</f>
        <v>0</v>
      </c>
      <c r="F117" s="394">
        <f>E117+E117*D117*B117/360</f>
        <v>0</v>
      </c>
      <c r="G117" s="396">
        <f>F117-E117</f>
        <v>0</v>
      </c>
      <c r="H117" s="366" t="s"/>
      <c r="I117" s="405" t="s"/>
      <c r="J117" s="406" t="s"/>
      <c r="K117" s="399" t="s"/>
      <c r="L117" s="86" t="s"/>
      <c r="M117" s="86" t="s"/>
      <c r="N117" s="86" t="s"/>
      <c r="O117" s="86" t="s"/>
      <c r="P117" s="86" t="s"/>
      <c r="Q117" s="86" t="s"/>
      <c r="R117" s="86" t="s"/>
      <c r="S117" s="86" t="s"/>
      <c r="T117" s="86" t="s"/>
      <c r="U117" s="86" t="s"/>
      <c r="V117" s="86" t="s"/>
      <c r="W117" s="86" t="s"/>
      <c r="X117" s="86" t="s"/>
    </row>
    <row r="118" spans="1:24" ht="22.5" customHeight="1">
      <c r="A118" s="390" t="s"/>
      <c r="B118" s="391" t="s"/>
      <c r="C118" s="392" t="s"/>
      <c r="D118" s="393" t="s"/>
      <c r="E118" s="394">
        <f>C118*10000</f>
        <v>0</v>
      </c>
      <c r="F118" s="394">
        <f>E118+E118*D118*B118/360</f>
        <v>0</v>
      </c>
      <c r="G118" s="396">
        <f>F118-E118</f>
        <v>0</v>
      </c>
      <c r="H118" s="366" t="s"/>
      <c r="I118" s="405" t="s"/>
      <c r="J118" s="406" t="s"/>
      <c r="K118" s="399" t="s"/>
      <c r="L118" s="86" t="s"/>
      <c r="M118" s="86" t="s"/>
      <c r="N118" s="86" t="s"/>
      <c r="O118" s="86" t="s"/>
      <c r="P118" s="86" t="s"/>
      <c r="Q118" s="86" t="s"/>
      <c r="R118" s="86" t="s"/>
      <c r="S118" s="86" t="s"/>
      <c r="T118" s="86" t="s"/>
      <c r="U118" s="86" t="s"/>
      <c r="V118" s="86" t="s"/>
      <c r="W118" s="86" t="s"/>
      <c r="X118" s="86" t="s"/>
    </row>
    <row r="119" spans="1:24" ht="22.5" customHeight="1">
      <c r="A119" s="390" t="s"/>
      <c r="B119" s="391" t="s"/>
      <c r="C119" s="392" t="s"/>
      <c r="D119" s="393" t="s"/>
      <c r="E119" s="394">
        <f>C119*10000</f>
        <v>0</v>
      </c>
      <c r="F119" s="394">
        <f>E119+E119*D119*B119/360</f>
        <v>0</v>
      </c>
      <c r="G119" s="396">
        <f>F119-E119</f>
        <v>0</v>
      </c>
      <c r="H119" s="366" t="s"/>
      <c r="I119" s="405" t="s"/>
      <c r="J119" s="406" t="s"/>
      <c r="K119" s="399" t="s"/>
      <c r="L119" s="86" t="s"/>
      <c r="M119" s="86" t="s"/>
      <c r="N119" s="86" t="s"/>
      <c r="O119" s="86" t="s"/>
      <c r="P119" s="86" t="s"/>
      <c r="Q119" s="86" t="s"/>
      <c r="R119" s="86" t="s"/>
      <c r="S119" s="86" t="s"/>
      <c r="T119" s="86" t="s"/>
      <c r="U119" s="86" t="s"/>
      <c r="V119" s="86" t="s"/>
      <c r="W119" s="86" t="s"/>
      <c r="X119" s="86" t="s"/>
    </row>
    <row r="120" spans="1:24" ht="22.5" customHeight="1">
      <c r="A120" s="390" t="s"/>
      <c r="B120" s="391" t="s"/>
      <c r="C120" s="392" t="s"/>
      <c r="D120" s="393" t="s"/>
      <c r="E120" s="394">
        <f>C120*10000</f>
        <v>0</v>
      </c>
      <c r="F120" s="394">
        <f>E120+E120*D120*B120/360</f>
        <v>0</v>
      </c>
      <c r="G120" s="396">
        <f>F120-E120</f>
        <v>0</v>
      </c>
      <c r="H120" s="366" t="s"/>
      <c r="I120" s="405" t="s"/>
      <c r="J120" s="406" t="s"/>
      <c r="K120" s="399" t="s"/>
      <c r="L120" s="86" t="s"/>
      <c r="M120" s="86" t="s"/>
      <c r="N120" s="86" t="s"/>
      <c r="O120" s="86" t="s"/>
      <c r="P120" s="86" t="s"/>
      <c r="Q120" s="86" t="s"/>
      <c r="R120" s="86" t="s"/>
      <c r="S120" s="86" t="s"/>
      <c r="T120" s="86" t="s"/>
      <c r="U120" s="86" t="s"/>
      <c r="V120" s="86" t="s"/>
      <c r="W120" s="86" t="s"/>
      <c r="X120" s="86" t="s"/>
    </row>
    <row r="121" spans="1:24" ht="22.5" customHeight="1">
      <c r="A121" s="390" t="s"/>
      <c r="B121" s="391" t="s"/>
      <c r="C121" s="392" t="s"/>
      <c r="D121" s="393" t="s"/>
      <c r="E121" s="394">
        <f>C121*10000</f>
        <v>0</v>
      </c>
      <c r="F121" s="394">
        <f>E121+E121*D121*B121/360</f>
        <v>0</v>
      </c>
      <c r="G121" s="396">
        <f>F121-E121</f>
        <v>0</v>
      </c>
      <c r="H121" s="366" t="s"/>
      <c r="I121" s="405" t="s"/>
      <c r="J121" s="406" t="s"/>
      <c r="K121" s="399" t="s"/>
      <c r="L121" s="86" t="s"/>
      <c r="M121" s="86" t="s"/>
      <c r="N121" s="86" t="s"/>
      <c r="O121" s="86" t="s"/>
      <c r="P121" s="86" t="s"/>
      <c r="Q121" s="86" t="s"/>
      <c r="R121" s="86" t="s"/>
      <c r="S121" s="86" t="s"/>
      <c r="T121" s="86" t="s"/>
      <c r="U121" s="86" t="s"/>
      <c r="V121" s="86" t="s"/>
      <c r="W121" s="86" t="s"/>
      <c r="X121" s="86" t="s"/>
    </row>
    <row r="122" spans="1:24" ht="22.5" customHeight="1">
      <c r="A122" s="390" t="s"/>
      <c r="B122" s="391" t="s"/>
      <c r="C122" s="392" t="s"/>
      <c r="D122" s="393" t="s"/>
      <c r="E122" s="394">
        <f>C122*10000</f>
        <v>0</v>
      </c>
      <c r="F122" s="394">
        <f>E122+E122*D122*B122/360</f>
        <v>0</v>
      </c>
      <c r="G122" s="396">
        <f>F122-E122</f>
        <v>0</v>
      </c>
      <c r="H122" s="366" t="s"/>
      <c r="I122" s="405" t="s"/>
      <c r="J122" s="406" t="s"/>
      <c r="K122" s="399" t="s"/>
      <c r="L122" s="86" t="s"/>
      <c r="M122" s="86" t="s"/>
      <c r="N122" s="86" t="s"/>
      <c r="O122" s="86" t="s"/>
      <c r="P122" s="86" t="s"/>
      <c r="Q122" s="86" t="s"/>
      <c r="R122" s="86" t="s"/>
      <c r="S122" s="86" t="s"/>
      <c r="T122" s="86" t="s"/>
      <c r="U122" s="86" t="s"/>
      <c r="V122" s="86" t="s"/>
      <c r="W122" s="86" t="s"/>
      <c r="X122" s="86" t="s"/>
    </row>
    <row r="123" spans="1:24" ht="22.5" customHeight="1">
      <c r="A123" s="390" t="s"/>
      <c r="B123" s="391" t="s"/>
      <c r="C123" s="392" t="s"/>
      <c r="D123" s="393" t="s"/>
      <c r="E123" s="394">
        <f>C123*10000</f>
        <v>0</v>
      </c>
      <c r="F123" s="394">
        <f>E123+E123*D123*B123/360</f>
        <v>0</v>
      </c>
      <c r="G123" s="396">
        <f>F123-E123</f>
        <v>0</v>
      </c>
      <c r="H123" s="366" t="s"/>
      <c r="I123" s="405" t="s"/>
      <c r="J123" s="406" t="s"/>
      <c r="K123" s="399" t="s"/>
      <c r="L123" s="86" t="s"/>
      <c r="M123" s="86" t="s"/>
      <c r="N123" s="86" t="s"/>
      <c r="O123" s="86" t="s"/>
      <c r="P123" s="86" t="s"/>
      <c r="Q123" s="86" t="s"/>
      <c r="R123" s="86" t="s"/>
      <c r="S123" s="86" t="s"/>
      <c r="T123" s="86" t="s"/>
      <c r="U123" s="86" t="s"/>
      <c r="V123" s="86" t="s"/>
      <c r="W123" s="86" t="s"/>
      <c r="X123" s="86" t="s"/>
    </row>
    <row r="124" spans="1:24" ht="22.5" customHeight="1">
      <c r="A124" s="390" t="s"/>
      <c r="B124" s="391" t="s"/>
      <c r="C124" s="392" t="s"/>
      <c r="D124" s="393" t="s"/>
      <c r="E124" s="394">
        <f>C124*10000</f>
        <v>0</v>
      </c>
      <c r="F124" s="394">
        <f>E124+E124*D124*B124/360</f>
        <v>0</v>
      </c>
      <c r="G124" s="396">
        <f>F124-E124</f>
        <v>0</v>
      </c>
      <c r="H124" s="366" t="s"/>
      <c r="I124" s="405" t="s"/>
      <c r="J124" s="406" t="s"/>
      <c r="K124" s="399" t="s"/>
      <c r="L124" s="86" t="s"/>
      <c r="M124" s="86" t="s"/>
      <c r="N124" s="86" t="s"/>
      <c r="O124" s="86" t="s"/>
      <c r="P124" s="86" t="s"/>
      <c r="Q124" s="86" t="s"/>
      <c r="R124" s="86" t="s"/>
      <c r="S124" s="86" t="s"/>
      <c r="T124" s="86" t="s"/>
      <c r="U124" s="86" t="s"/>
      <c r="V124" s="86" t="s"/>
      <c r="W124" s="86" t="s"/>
      <c r="X124" s="86" t="s"/>
    </row>
    <row r="125" spans="1:24" ht="22.5" customHeight="1">
      <c r="A125" s="390" t="s"/>
      <c r="B125" s="391" t="s"/>
      <c r="C125" s="392" t="s"/>
      <c r="D125" s="393" t="s"/>
      <c r="E125" s="394">
        <f>C125*10000</f>
        <v>0</v>
      </c>
      <c r="F125" s="394">
        <f>E125+E125*D125*B125/360</f>
        <v>0</v>
      </c>
      <c r="G125" s="396">
        <f>F125-E125</f>
        <v>0</v>
      </c>
      <c r="H125" s="366" t="s"/>
      <c r="I125" s="405" t="s"/>
      <c r="J125" s="406" t="s"/>
      <c r="K125" s="399" t="s"/>
      <c r="L125" s="86" t="s"/>
      <c r="M125" s="86" t="s"/>
      <c r="N125" s="86" t="s"/>
      <c r="O125" s="86" t="s"/>
      <c r="P125" s="86" t="s"/>
      <c r="Q125" s="86" t="s"/>
      <c r="R125" s="86" t="s"/>
      <c r="S125" s="86" t="s"/>
      <c r="T125" s="86" t="s"/>
      <c r="U125" s="86" t="s"/>
      <c r="V125" s="86" t="s"/>
      <c r="W125" s="86" t="s"/>
      <c r="X125" s="86" t="s"/>
    </row>
    <row r="126" spans="1:24" ht="22.5" customHeight="1">
      <c r="A126" s="390" t="s"/>
      <c r="B126" s="391" t="s"/>
      <c r="C126" s="392" t="s"/>
      <c r="D126" s="393" t="s"/>
      <c r="E126" s="394">
        <f>C126*10000</f>
        <v>0</v>
      </c>
      <c r="F126" s="394">
        <f>E126+E126*D126*B126/360</f>
        <v>0</v>
      </c>
      <c r="G126" s="396">
        <f>F126-E126</f>
        <v>0</v>
      </c>
      <c r="H126" s="366" t="s"/>
      <c r="I126" s="405" t="s"/>
      <c r="J126" s="406" t="s"/>
      <c r="K126" s="399" t="s"/>
      <c r="L126" s="86" t="s"/>
      <c r="M126" s="86" t="s"/>
      <c r="N126" s="86" t="s"/>
      <c r="O126" s="86" t="s"/>
      <c r="P126" s="86" t="s"/>
      <c r="Q126" s="86" t="s"/>
      <c r="R126" s="86" t="s"/>
      <c r="S126" s="86" t="s"/>
      <c r="T126" s="86" t="s"/>
      <c r="U126" s="86" t="s"/>
      <c r="V126" s="86" t="s"/>
      <c r="W126" s="86" t="s"/>
      <c r="X126" s="86" t="s"/>
    </row>
    <row r="127" spans="1:24" ht="22.5" customHeight="1">
      <c r="A127" s="390" t="s"/>
      <c r="B127" s="391" t="s"/>
      <c r="C127" s="392" t="s"/>
      <c r="D127" s="393" t="s"/>
      <c r="E127" s="394">
        <f>C127*10000</f>
        <v>0</v>
      </c>
      <c r="F127" s="394">
        <f>E127+E127*D127*B127/360</f>
        <v>0</v>
      </c>
      <c r="G127" s="396">
        <f>F127-E127</f>
        <v>0</v>
      </c>
      <c r="H127" s="366" t="s"/>
      <c r="I127" s="405" t="s"/>
      <c r="J127" s="406" t="s"/>
      <c r="K127" s="399" t="s"/>
      <c r="L127" s="86" t="s"/>
      <c r="M127" s="86" t="s"/>
      <c r="N127" s="86" t="s"/>
      <c r="O127" s="86" t="s"/>
      <c r="P127" s="86" t="s"/>
      <c r="Q127" s="86" t="s"/>
      <c r="R127" s="86" t="s"/>
      <c r="S127" s="86" t="s"/>
      <c r="T127" s="86" t="s"/>
      <c r="U127" s="86" t="s"/>
      <c r="V127" s="86" t="s"/>
      <c r="W127" s="86" t="s"/>
      <c r="X127" s="86" t="s"/>
    </row>
    <row r="128" spans="1:24" ht="22.5" customHeight="1">
      <c r="A128" s="390" t="s"/>
      <c r="B128" s="391" t="s"/>
      <c r="C128" s="392" t="s"/>
      <c r="D128" s="393" t="s"/>
      <c r="E128" s="394">
        <f>C128*10000</f>
        <v>0</v>
      </c>
      <c r="F128" s="394">
        <f>E128+E128*D128*B128/360</f>
        <v>0</v>
      </c>
      <c r="G128" s="396">
        <f>F128-E128</f>
        <v>0</v>
      </c>
      <c r="H128" s="366" t="s"/>
      <c r="I128" s="405" t="s"/>
      <c r="J128" s="406" t="s"/>
      <c r="K128" s="399" t="s"/>
      <c r="L128" s="86" t="s"/>
      <c r="M128" s="86" t="s"/>
      <c r="N128" s="86" t="s"/>
      <c r="O128" s="86" t="s"/>
      <c r="P128" s="86" t="s"/>
      <c r="Q128" s="86" t="s"/>
      <c r="R128" s="86" t="s"/>
      <c r="S128" s="86" t="s"/>
      <c r="T128" s="86" t="s"/>
      <c r="U128" s="86" t="s"/>
      <c r="V128" s="86" t="s"/>
      <c r="W128" s="86" t="s"/>
      <c r="X128" s="86" t="s"/>
    </row>
    <row r="129" spans="1:24" ht="22.5" customHeight="1">
      <c r="A129" s="390" t="s"/>
      <c r="B129" s="391" t="s"/>
      <c r="C129" s="392" t="s"/>
      <c r="D129" s="393" t="s"/>
      <c r="E129" s="394">
        <f>C129*10000</f>
        <v>0</v>
      </c>
      <c r="F129" s="394">
        <f>E129+E129*D129*B129/360</f>
        <v>0</v>
      </c>
      <c r="G129" s="396">
        <f>F129-E129</f>
        <v>0</v>
      </c>
      <c r="H129" s="366" t="s"/>
      <c r="I129" s="405" t="s"/>
      <c r="J129" s="406" t="s"/>
      <c r="K129" s="399" t="s"/>
      <c r="L129" s="86" t="s"/>
      <c r="M129" s="86" t="s"/>
      <c r="N129" s="86" t="s"/>
      <c r="O129" s="86" t="s"/>
      <c r="P129" s="86" t="s"/>
      <c r="Q129" s="86" t="s"/>
      <c r="R129" s="86" t="s"/>
      <c r="S129" s="86" t="s"/>
      <c r="T129" s="86" t="s"/>
      <c r="U129" s="86" t="s"/>
      <c r="V129" s="86" t="s"/>
      <c r="W129" s="86" t="s"/>
      <c r="X129" s="86" t="s"/>
    </row>
    <row r="130" spans="1:24" ht="22.5" customHeight="1">
      <c r="A130" s="390" t="s"/>
      <c r="B130" s="391" t="s"/>
      <c r="C130" s="392" t="s"/>
      <c r="D130" s="393" t="s"/>
      <c r="E130" s="394">
        <f>C130*10000</f>
        <v>0</v>
      </c>
      <c r="F130" s="394">
        <f>E130+E130*D130*B130/360</f>
        <v>0</v>
      </c>
      <c r="G130" s="396">
        <f>F130-E130</f>
        <v>0</v>
      </c>
      <c r="H130" s="366" t="s"/>
      <c r="I130" s="405" t="s"/>
      <c r="J130" s="406" t="s"/>
      <c r="K130" s="399" t="s"/>
      <c r="L130" s="86" t="s"/>
      <c r="M130" s="86" t="s"/>
      <c r="N130" s="86" t="s"/>
      <c r="O130" s="86" t="s"/>
      <c r="P130" s="86" t="s"/>
      <c r="Q130" s="86" t="s"/>
      <c r="R130" s="86" t="s"/>
      <c r="S130" s="86" t="s"/>
      <c r="T130" s="86" t="s"/>
      <c r="U130" s="86" t="s"/>
      <c r="V130" s="86" t="s"/>
      <c r="W130" s="86" t="s"/>
      <c r="X130" s="86" t="s"/>
    </row>
    <row r="131" spans="1:24" ht="22.5" customHeight="1">
      <c r="A131" s="390" t="s"/>
      <c r="B131" s="391" t="s"/>
      <c r="C131" s="392" t="s"/>
      <c r="D131" s="393" t="s"/>
      <c r="E131" s="394">
        <f>C131*10000</f>
        <v>0</v>
      </c>
      <c r="F131" s="394">
        <f>E131+E131*D131*B131/360</f>
        <v>0</v>
      </c>
      <c r="G131" s="396">
        <f>F131-E131</f>
        <v>0</v>
      </c>
      <c r="H131" s="366" t="s"/>
      <c r="I131" s="405" t="s"/>
      <c r="J131" s="406" t="s"/>
      <c r="K131" s="399" t="s"/>
      <c r="L131" s="86" t="s"/>
      <c r="M131" s="86" t="s"/>
      <c r="N131" s="86" t="s"/>
      <c r="O131" s="86" t="s"/>
      <c r="P131" s="86" t="s"/>
      <c r="Q131" s="86" t="s"/>
      <c r="R131" s="86" t="s"/>
      <c r="S131" s="86" t="s"/>
      <c r="T131" s="86" t="s"/>
      <c r="U131" s="86" t="s"/>
      <c r="V131" s="86" t="s"/>
      <c r="W131" s="86" t="s"/>
      <c r="X131" s="86" t="s"/>
    </row>
    <row r="132" spans="1:24" ht="22.5" customHeight="1">
      <c r="A132" s="390" t="s"/>
      <c r="B132" s="391" t="s"/>
      <c r="C132" s="392" t="s"/>
      <c r="D132" s="393" t="s"/>
      <c r="E132" s="394">
        <f>C132*10000</f>
        <v>0</v>
      </c>
      <c r="F132" s="394">
        <f>E132+E132*D132*B132/360</f>
        <v>0</v>
      </c>
      <c r="G132" s="396">
        <f>F132-E132</f>
        <v>0</v>
      </c>
      <c r="H132" s="366" t="s"/>
      <c r="I132" s="405" t="s"/>
      <c r="J132" s="406" t="s"/>
      <c r="K132" s="399" t="s"/>
      <c r="L132" s="86" t="s"/>
      <c r="M132" s="86" t="s"/>
      <c r="N132" s="86" t="s"/>
      <c r="O132" s="86" t="s"/>
      <c r="P132" s="86" t="s"/>
      <c r="Q132" s="86" t="s"/>
      <c r="R132" s="86" t="s"/>
      <c r="S132" s="86" t="s"/>
      <c r="T132" s="86" t="s"/>
      <c r="U132" s="86" t="s"/>
      <c r="V132" s="86" t="s"/>
      <c r="W132" s="86" t="s"/>
      <c r="X132" s="86" t="s"/>
    </row>
    <row r="133" spans="1:24" ht="22.5" customHeight="1">
      <c r="A133" s="390" t="s"/>
      <c r="B133" s="391" t="s"/>
      <c r="C133" s="392" t="s"/>
      <c r="D133" s="393" t="s"/>
      <c r="E133" s="394">
        <f>C133*10000</f>
        <v>0</v>
      </c>
      <c r="F133" s="394">
        <f>E133+E133*D133*B133/360</f>
        <v>0</v>
      </c>
      <c r="G133" s="396">
        <f>F133-E133</f>
        <v>0</v>
      </c>
      <c r="H133" s="366" t="s"/>
      <c r="I133" s="405" t="s"/>
      <c r="J133" s="406" t="s"/>
      <c r="K133" s="399" t="s"/>
      <c r="L133" s="86" t="s"/>
      <c r="M133" s="86" t="s"/>
      <c r="N133" s="86" t="s"/>
      <c r="O133" s="86" t="s"/>
      <c r="P133" s="86" t="s"/>
      <c r="Q133" s="86" t="s"/>
      <c r="R133" s="86" t="s"/>
      <c r="S133" s="86" t="s"/>
      <c r="T133" s="86" t="s"/>
      <c r="U133" s="86" t="s"/>
      <c r="V133" s="86" t="s"/>
      <c r="W133" s="86" t="s"/>
      <c r="X133" s="86" t="s"/>
    </row>
    <row r="134" spans="1:24" ht="22.5" customHeight="1">
      <c r="A134" s="390" t="s"/>
      <c r="B134" s="391" t="s"/>
      <c r="C134" s="392" t="s"/>
      <c r="D134" s="393" t="s"/>
      <c r="E134" s="394">
        <f>C134*10000</f>
        <v>0</v>
      </c>
      <c r="F134" s="394">
        <f>E134+E134*D134*B134/360</f>
        <v>0</v>
      </c>
      <c r="G134" s="396">
        <f>F134-E134</f>
        <v>0</v>
      </c>
      <c r="H134" s="366" t="s"/>
      <c r="I134" s="405" t="s"/>
      <c r="J134" s="406" t="s"/>
      <c r="K134" s="399" t="s"/>
      <c r="L134" s="86" t="s"/>
      <c r="M134" s="86" t="s"/>
      <c r="N134" s="86" t="s"/>
      <c r="O134" s="86" t="s"/>
      <c r="P134" s="86" t="s"/>
      <c r="Q134" s="86" t="s"/>
      <c r="R134" s="86" t="s"/>
      <c r="S134" s="86" t="s"/>
      <c r="T134" s="86" t="s"/>
      <c r="U134" s="86" t="s"/>
      <c r="V134" s="86" t="s"/>
      <c r="W134" s="86" t="s"/>
      <c r="X134" s="86" t="s"/>
    </row>
    <row r="135" spans="1:24" ht="22.5" customHeight="1">
      <c r="A135" s="390" t="s"/>
      <c r="B135" s="391" t="s"/>
      <c r="C135" s="392" t="s"/>
      <c r="D135" s="393" t="s"/>
      <c r="E135" s="394">
        <f>C135*10000</f>
        <v>0</v>
      </c>
      <c r="F135" s="394">
        <f>E135+E135*D135*B135/360</f>
        <v>0</v>
      </c>
      <c r="G135" s="396">
        <f>F135-E135</f>
        <v>0</v>
      </c>
      <c r="H135" s="366" t="s"/>
      <c r="I135" s="405" t="s"/>
      <c r="J135" s="406" t="s"/>
      <c r="K135" s="399" t="s"/>
      <c r="L135" s="86" t="s"/>
      <c r="M135" s="86" t="s"/>
      <c r="N135" s="86" t="s"/>
      <c r="O135" s="86" t="s"/>
      <c r="P135" s="86" t="s"/>
      <c r="Q135" s="86" t="s"/>
      <c r="R135" s="86" t="s"/>
      <c r="S135" s="86" t="s"/>
      <c r="T135" s="86" t="s"/>
      <c r="U135" s="86" t="s"/>
      <c r="V135" s="86" t="s"/>
      <c r="W135" s="86" t="s"/>
      <c r="X135" s="86" t="s"/>
    </row>
    <row r="136" spans="1:24" ht="22.5" customHeight="1">
      <c r="A136" s="390" t="s"/>
      <c r="B136" s="391" t="s"/>
      <c r="C136" s="392" t="s"/>
      <c r="D136" s="393" t="s"/>
      <c r="E136" s="394">
        <f>C136*10000</f>
        <v>0</v>
      </c>
      <c r="F136" s="394">
        <f>E136+E136*D136*B136/360</f>
        <v>0</v>
      </c>
      <c r="G136" s="396">
        <f>F136-E136</f>
        <v>0</v>
      </c>
      <c r="H136" s="366" t="s"/>
      <c r="I136" s="405" t="s"/>
      <c r="J136" s="406" t="s"/>
      <c r="K136" s="399" t="s"/>
      <c r="L136" s="86" t="s"/>
      <c r="M136" s="86" t="s"/>
      <c r="N136" s="86" t="s"/>
      <c r="O136" s="86" t="s"/>
      <c r="P136" s="86" t="s"/>
      <c r="Q136" s="86" t="s"/>
      <c r="R136" s="86" t="s"/>
      <c r="S136" s="86" t="s"/>
      <c r="T136" s="86" t="s"/>
      <c r="U136" s="86" t="s"/>
      <c r="V136" s="86" t="s"/>
      <c r="W136" s="86" t="s"/>
      <c r="X136" s="86" t="s"/>
    </row>
    <row r="137" spans="1:24" ht="22.5" customHeight="1">
      <c r="A137" s="390" t="s"/>
      <c r="B137" s="391" t="s"/>
      <c r="C137" s="392" t="s"/>
      <c r="D137" s="393" t="s"/>
      <c r="E137" s="394">
        <f>C137*10000</f>
        <v>0</v>
      </c>
      <c r="F137" s="394">
        <f>E137+E137*D137*B137/360</f>
        <v>0</v>
      </c>
      <c r="G137" s="396">
        <f>F137-E137</f>
        <v>0</v>
      </c>
      <c r="H137" s="366" t="s"/>
      <c r="I137" s="405" t="s"/>
      <c r="J137" s="406" t="s"/>
      <c r="K137" s="399" t="s"/>
      <c r="L137" s="86" t="s"/>
      <c r="M137" s="86" t="s"/>
      <c r="N137" s="86" t="s"/>
      <c r="O137" s="86" t="s"/>
      <c r="P137" s="86" t="s"/>
      <c r="Q137" s="86" t="s"/>
      <c r="R137" s="86" t="s"/>
      <c r="S137" s="86" t="s"/>
      <c r="T137" s="86" t="s"/>
      <c r="U137" s="86" t="s"/>
      <c r="V137" s="86" t="s"/>
      <c r="W137" s="86" t="s"/>
      <c r="X137" s="86" t="s"/>
    </row>
    <row r="138" spans="1:24" ht="22.5" customHeight="1">
      <c r="A138" s="390" t="s"/>
      <c r="B138" s="391" t="s"/>
      <c r="C138" s="392" t="s"/>
      <c r="D138" s="393" t="s"/>
      <c r="E138" s="394">
        <f>C138*10000</f>
        <v>0</v>
      </c>
      <c r="F138" s="394">
        <f>E138+E138*D138*B138/360</f>
        <v>0</v>
      </c>
      <c r="G138" s="396">
        <f>F138-E138</f>
        <v>0</v>
      </c>
      <c r="H138" s="366" t="s"/>
      <c r="I138" s="405" t="s"/>
      <c r="J138" s="406" t="s"/>
      <c r="K138" s="399" t="s"/>
      <c r="L138" s="86" t="s"/>
      <c r="M138" s="86" t="s"/>
      <c r="N138" s="86" t="s"/>
      <c r="O138" s="86" t="s"/>
      <c r="P138" s="86" t="s"/>
      <c r="Q138" s="86" t="s"/>
      <c r="R138" s="86" t="s"/>
      <c r="S138" s="86" t="s"/>
      <c r="T138" s="86" t="s"/>
      <c r="U138" s="86" t="s"/>
      <c r="V138" s="86" t="s"/>
      <c r="W138" s="86" t="s"/>
      <c r="X138" s="86" t="s"/>
    </row>
    <row r="139" spans="1:24" ht="22.5" customHeight="1">
      <c r="A139" s="390" t="s"/>
      <c r="B139" s="391" t="s"/>
      <c r="C139" s="392" t="s"/>
      <c r="D139" s="393" t="s"/>
      <c r="E139" s="394">
        <f>C139*10000</f>
        <v>0</v>
      </c>
      <c r="F139" s="394">
        <f>E139+E139*D139*B139/360</f>
        <v>0</v>
      </c>
      <c r="G139" s="396">
        <f>F139-E139</f>
        <v>0</v>
      </c>
      <c r="H139" s="366" t="s"/>
      <c r="I139" s="405" t="s"/>
      <c r="J139" s="406" t="s"/>
      <c r="K139" s="399" t="s"/>
      <c r="L139" s="86" t="s"/>
      <c r="M139" s="86" t="s"/>
      <c r="N139" s="86" t="s"/>
      <c r="O139" s="86" t="s"/>
      <c r="P139" s="86" t="s"/>
      <c r="Q139" s="86" t="s"/>
      <c r="R139" s="86" t="s"/>
      <c r="S139" s="86" t="s"/>
      <c r="T139" s="86" t="s"/>
      <c r="U139" s="86" t="s"/>
      <c r="V139" s="86" t="s"/>
      <c r="W139" s="86" t="s"/>
      <c r="X139" s="86" t="s"/>
    </row>
    <row r="140" spans="1:24" ht="22.5" customHeight="1">
      <c r="A140" s="390" t="s"/>
      <c r="B140" s="391" t="s"/>
      <c r="C140" s="392" t="s"/>
      <c r="D140" s="393" t="s"/>
      <c r="E140" s="394">
        <f>C140*10000</f>
        <v>0</v>
      </c>
      <c r="F140" s="394">
        <f>E140+E140*D140*B140/360</f>
        <v>0</v>
      </c>
      <c r="G140" s="396">
        <f>F140-E140</f>
        <v>0</v>
      </c>
      <c r="H140" s="366" t="s"/>
      <c r="I140" s="405" t="s"/>
      <c r="J140" s="406" t="s"/>
      <c r="K140" s="399" t="s"/>
      <c r="L140" s="86" t="s"/>
      <c r="M140" s="86" t="s"/>
      <c r="N140" s="86" t="s"/>
      <c r="O140" s="86" t="s"/>
      <c r="P140" s="86" t="s"/>
      <c r="Q140" s="86" t="s"/>
      <c r="R140" s="86" t="s"/>
      <c r="S140" s="86" t="s"/>
      <c r="T140" s="86" t="s"/>
      <c r="U140" s="86" t="s"/>
      <c r="V140" s="86" t="s"/>
      <c r="W140" s="86" t="s"/>
      <c r="X140" s="86" t="s"/>
    </row>
    <row r="141" spans="1:24" ht="22.5" customHeight="1">
      <c r="A141" s="390" t="s"/>
      <c r="B141" s="391" t="s"/>
      <c r="C141" s="392" t="s"/>
      <c r="D141" s="393" t="s"/>
      <c r="E141" s="394">
        <f>C141*10000</f>
        <v>0</v>
      </c>
      <c r="F141" s="394">
        <f>E141+E141*D141*B141/360</f>
        <v>0</v>
      </c>
      <c r="G141" s="396">
        <f>F141-E141</f>
        <v>0</v>
      </c>
      <c r="H141" s="366" t="s"/>
      <c r="I141" s="405" t="s"/>
      <c r="J141" s="406" t="s"/>
      <c r="K141" s="399" t="s"/>
      <c r="L141" s="86" t="s"/>
      <c r="M141" s="86" t="s"/>
      <c r="N141" s="86" t="s"/>
      <c r="O141" s="86" t="s"/>
      <c r="P141" s="86" t="s"/>
      <c r="Q141" s="86" t="s"/>
      <c r="R141" s="86" t="s"/>
      <c r="S141" s="86" t="s"/>
      <c r="T141" s="86" t="s"/>
      <c r="U141" s="86" t="s"/>
      <c r="V141" s="86" t="s"/>
      <c r="W141" s="86" t="s"/>
      <c r="X141" s="86" t="s"/>
    </row>
    <row r="142" spans="1:24" ht="22.5" customHeight="1">
      <c r="A142" s="390" t="s"/>
      <c r="B142" s="391" t="s"/>
      <c r="C142" s="392" t="s"/>
      <c r="D142" s="393" t="s"/>
      <c r="E142" s="394">
        <f>C142*10000</f>
        <v>0</v>
      </c>
      <c r="F142" s="394">
        <f>E142+E142*D142*B142/360</f>
        <v>0</v>
      </c>
      <c r="G142" s="396">
        <f>F142-E142</f>
        <v>0</v>
      </c>
      <c r="H142" s="366" t="s"/>
      <c r="I142" s="405" t="s"/>
      <c r="J142" s="406" t="s"/>
      <c r="K142" s="399" t="s"/>
      <c r="L142" s="86" t="s"/>
      <c r="M142" s="86" t="s"/>
      <c r="N142" s="86" t="s"/>
      <c r="O142" s="86" t="s"/>
      <c r="P142" s="86" t="s"/>
      <c r="Q142" s="86" t="s"/>
      <c r="R142" s="86" t="s"/>
      <c r="S142" s="86" t="s"/>
      <c r="T142" s="86" t="s"/>
      <c r="U142" s="86" t="s"/>
      <c r="V142" s="86" t="s"/>
      <c r="W142" s="86" t="s"/>
      <c r="X142" s="86" t="s"/>
    </row>
    <row r="143" spans="1:24" ht="22.5" customHeight="1">
      <c r="A143" s="390" t="s"/>
      <c r="B143" s="391" t="s"/>
      <c r="C143" s="392" t="s"/>
      <c r="D143" s="393" t="s"/>
      <c r="E143" s="394">
        <f>C143*10000</f>
        <v>0</v>
      </c>
      <c r="F143" s="394">
        <f>E143+E143*D143*B143/360</f>
        <v>0</v>
      </c>
      <c r="G143" s="396">
        <f>F143-E143</f>
        <v>0</v>
      </c>
      <c r="H143" s="366" t="s"/>
      <c r="I143" s="405" t="s"/>
      <c r="J143" s="406" t="s"/>
      <c r="K143" s="399" t="s"/>
      <c r="L143" s="86" t="s"/>
      <c r="M143" s="86" t="s"/>
      <c r="N143" s="86" t="s"/>
      <c r="O143" s="86" t="s"/>
      <c r="P143" s="86" t="s"/>
      <c r="Q143" s="86" t="s"/>
      <c r="R143" s="86" t="s"/>
      <c r="S143" s="86" t="s"/>
      <c r="T143" s="86" t="s"/>
      <c r="U143" s="86" t="s"/>
      <c r="V143" s="86" t="s"/>
      <c r="W143" s="86" t="s"/>
      <c r="X143" s="86" t="s"/>
    </row>
    <row r="144" spans="1:24" ht="22.5" customHeight="1">
      <c r="A144" s="390" t="s"/>
      <c r="B144" s="391" t="s"/>
      <c r="C144" s="392" t="s"/>
      <c r="D144" s="393" t="s"/>
      <c r="E144" s="394">
        <f>C144*10000</f>
        <v>0</v>
      </c>
      <c r="F144" s="394">
        <f>E144+E144*D144*B144/360</f>
        <v>0</v>
      </c>
      <c r="G144" s="396">
        <f>F144-E144</f>
        <v>0</v>
      </c>
      <c r="H144" s="366" t="s"/>
      <c r="I144" s="405" t="s"/>
      <c r="J144" s="406" t="s"/>
      <c r="K144" s="399" t="s"/>
      <c r="L144" s="86" t="s"/>
      <c r="M144" s="86" t="s"/>
      <c r="N144" s="86" t="s"/>
      <c r="O144" s="86" t="s"/>
      <c r="P144" s="86" t="s"/>
      <c r="Q144" s="86" t="s"/>
      <c r="R144" s="86" t="s"/>
      <c r="S144" s="86" t="s"/>
      <c r="T144" s="86" t="s"/>
      <c r="U144" s="86" t="s"/>
      <c r="V144" s="86" t="s"/>
      <c r="W144" s="86" t="s"/>
      <c r="X144" s="86" t="s"/>
    </row>
    <row r="145" spans="1:24" ht="22.5" customHeight="1">
      <c r="A145" s="390" t="s"/>
      <c r="B145" s="391" t="s"/>
      <c r="C145" s="392" t="s"/>
      <c r="D145" s="393" t="s"/>
      <c r="E145" s="394">
        <f>C145*10000</f>
        <v>0</v>
      </c>
      <c r="F145" s="394">
        <f>E145+E145*D145*B145/360</f>
        <v>0</v>
      </c>
      <c r="G145" s="396">
        <f>F145-E145</f>
        <v>0</v>
      </c>
      <c r="H145" s="366" t="s"/>
      <c r="I145" s="405" t="s"/>
      <c r="J145" s="406" t="s"/>
      <c r="K145" s="399" t="s"/>
      <c r="L145" s="86" t="s"/>
      <c r="M145" s="86" t="s"/>
      <c r="N145" s="86" t="s"/>
      <c r="O145" s="86" t="s"/>
      <c r="P145" s="86" t="s"/>
      <c r="Q145" s="86" t="s"/>
      <c r="R145" s="86" t="s"/>
      <c r="S145" s="86" t="s"/>
      <c r="T145" s="86" t="s"/>
      <c r="U145" s="86" t="s"/>
      <c r="V145" s="86" t="s"/>
      <c r="W145" s="86" t="s"/>
      <c r="X145" s="86" t="s"/>
    </row>
    <row r="146" spans="1:24" ht="22.5" customHeight="1">
      <c r="A146" s="390" t="s"/>
      <c r="B146" s="391" t="s"/>
      <c r="C146" s="392" t="s"/>
      <c r="D146" s="393" t="s"/>
      <c r="E146" s="394">
        <f>C146*10000</f>
        <v>0</v>
      </c>
      <c r="F146" s="394">
        <f>E146+E146*D146*B146/360</f>
        <v>0</v>
      </c>
      <c r="G146" s="396">
        <f>F146-E146</f>
        <v>0</v>
      </c>
      <c r="H146" s="366" t="s"/>
      <c r="I146" s="405" t="s"/>
      <c r="J146" s="406" t="s"/>
      <c r="K146" s="399" t="s"/>
      <c r="L146" s="86" t="s"/>
      <c r="M146" s="86" t="s"/>
      <c r="N146" s="86" t="s"/>
      <c r="O146" s="86" t="s"/>
      <c r="P146" s="86" t="s"/>
      <c r="Q146" s="86" t="s"/>
      <c r="R146" s="86" t="s"/>
      <c r="S146" s="86" t="s"/>
      <c r="T146" s="86" t="s"/>
      <c r="U146" s="86" t="s"/>
      <c r="V146" s="86" t="s"/>
      <c r="W146" s="86" t="s"/>
      <c r="X146" s="86" t="s"/>
    </row>
    <row r="147" spans="1:24" ht="22.5" customHeight="1">
      <c r="A147" s="390" t="s"/>
      <c r="B147" s="391" t="s"/>
      <c r="C147" s="392" t="s"/>
      <c r="D147" s="393" t="s"/>
      <c r="E147" s="394">
        <f>C147*10000</f>
        <v>0</v>
      </c>
      <c r="F147" s="394">
        <f>E147+E147*D147*B147/360</f>
        <v>0</v>
      </c>
      <c r="G147" s="396">
        <f>F147-E147</f>
        <v>0</v>
      </c>
      <c r="H147" s="366" t="s"/>
      <c r="I147" s="405" t="s"/>
      <c r="J147" s="406" t="s"/>
      <c r="K147" s="399" t="s"/>
      <c r="L147" s="86" t="s"/>
      <c r="M147" s="86" t="s"/>
      <c r="N147" s="86" t="s"/>
      <c r="O147" s="86" t="s"/>
      <c r="P147" s="86" t="s"/>
      <c r="Q147" s="86" t="s"/>
      <c r="R147" s="86" t="s"/>
      <c r="S147" s="86" t="s"/>
      <c r="T147" s="86" t="s"/>
      <c r="U147" s="86" t="s"/>
      <c r="V147" s="86" t="s"/>
      <c r="W147" s="86" t="s"/>
      <c r="X147" s="86" t="s"/>
    </row>
    <row r="148" spans="1:24" ht="22.5" customHeight="1">
      <c r="A148" s="390" t="s"/>
      <c r="B148" s="391" t="s"/>
      <c r="C148" s="392" t="s"/>
      <c r="D148" s="393" t="s"/>
      <c r="E148" s="394">
        <f>C148*10000</f>
        <v>0</v>
      </c>
      <c r="F148" s="394">
        <f>E148+E148*D148*B148/360</f>
        <v>0</v>
      </c>
      <c r="G148" s="396">
        <f>F148-E148</f>
        <v>0</v>
      </c>
      <c r="H148" s="366" t="s"/>
      <c r="I148" s="405" t="s"/>
      <c r="J148" s="406" t="s"/>
      <c r="K148" s="399" t="s"/>
      <c r="L148" s="86" t="s"/>
      <c r="M148" s="86" t="s"/>
      <c r="N148" s="86" t="s"/>
      <c r="O148" s="86" t="s"/>
      <c r="P148" s="86" t="s"/>
      <c r="Q148" s="86" t="s"/>
      <c r="R148" s="86" t="s"/>
      <c r="S148" s="86" t="s"/>
      <c r="T148" s="86" t="s"/>
      <c r="U148" s="86" t="s"/>
      <c r="V148" s="86" t="s"/>
      <c r="W148" s="86" t="s"/>
      <c r="X148" s="86" t="s"/>
    </row>
    <row r="149" spans="1:24" ht="22.5" customHeight="1">
      <c r="A149" s="390" t="s"/>
      <c r="B149" s="391" t="s"/>
      <c r="C149" s="392" t="s"/>
      <c r="D149" s="393" t="s"/>
      <c r="E149" s="394">
        <f>C149*10000</f>
        <v>0</v>
      </c>
      <c r="F149" s="394">
        <f>E149+E149*D149*B149/360</f>
        <v>0</v>
      </c>
      <c r="G149" s="396">
        <f>F149-E149</f>
        <v>0</v>
      </c>
      <c r="H149" s="366" t="s"/>
      <c r="I149" s="405" t="s"/>
      <c r="J149" s="406" t="s"/>
      <c r="K149" s="399" t="s"/>
      <c r="L149" s="86" t="s"/>
      <c r="M149" s="86" t="s"/>
      <c r="N149" s="86" t="s"/>
      <c r="O149" s="86" t="s"/>
      <c r="P149" s="86" t="s"/>
      <c r="Q149" s="86" t="s"/>
      <c r="R149" s="86" t="s"/>
      <c r="S149" s="86" t="s"/>
      <c r="T149" s="86" t="s"/>
      <c r="U149" s="86" t="s"/>
      <c r="V149" s="86" t="s"/>
      <c r="W149" s="86" t="s"/>
      <c r="X149" s="86" t="s"/>
    </row>
    <row r="150" spans="1:24" ht="22.5" customHeight="1">
      <c r="A150" s="390" t="s"/>
      <c r="B150" s="391" t="s"/>
      <c r="C150" s="392" t="s"/>
      <c r="D150" s="393" t="s"/>
      <c r="E150" s="394">
        <f>C150*10000</f>
        <v>0</v>
      </c>
      <c r="F150" s="394">
        <f>E150+E150*D150*B150/360</f>
        <v>0</v>
      </c>
      <c r="G150" s="396">
        <f>F150-E150</f>
        <v>0</v>
      </c>
      <c r="H150" s="366" t="s"/>
      <c r="I150" s="405" t="s"/>
      <c r="J150" s="406" t="s"/>
      <c r="K150" s="399" t="s"/>
      <c r="L150" s="86" t="s"/>
      <c r="M150" s="86" t="s"/>
      <c r="N150" s="86" t="s"/>
      <c r="O150" s="86" t="s"/>
      <c r="P150" s="86" t="s"/>
      <c r="Q150" s="86" t="s"/>
      <c r="R150" s="86" t="s"/>
      <c r="S150" s="86" t="s"/>
      <c r="T150" s="86" t="s"/>
      <c r="U150" s="86" t="s"/>
      <c r="V150" s="86" t="s"/>
      <c r="W150" s="86" t="s"/>
      <c r="X150" s="86" t="s"/>
    </row>
    <row r="151" spans="1:24" ht="22.5" customHeight="1">
      <c r="A151" s="390" t="s"/>
      <c r="B151" s="391" t="s"/>
      <c r="C151" s="392" t="s"/>
      <c r="D151" s="393" t="s"/>
      <c r="E151" s="394">
        <f>C151*10000</f>
        <v>0</v>
      </c>
      <c r="F151" s="394">
        <f>E151+E151*D151*B151/360</f>
        <v>0</v>
      </c>
      <c r="G151" s="396">
        <f>F151-E151</f>
        <v>0</v>
      </c>
      <c r="H151" s="366" t="s"/>
      <c r="I151" s="405" t="s"/>
      <c r="J151" s="406" t="s"/>
      <c r="K151" s="399" t="s"/>
      <c r="L151" s="86" t="s"/>
      <c r="M151" s="86" t="s"/>
      <c r="N151" s="86" t="s"/>
      <c r="O151" s="86" t="s"/>
      <c r="P151" s="86" t="s"/>
      <c r="Q151" s="86" t="s"/>
      <c r="R151" s="86" t="s"/>
      <c r="S151" s="86" t="s"/>
      <c r="T151" s="86" t="s"/>
      <c r="U151" s="86" t="s"/>
      <c r="V151" s="86" t="s"/>
      <c r="W151" s="86" t="s"/>
      <c r="X151" s="86" t="s"/>
    </row>
    <row r="152" spans="1:24" ht="22.5" customHeight="1">
      <c r="A152" s="390" t="s"/>
      <c r="B152" s="391" t="s"/>
      <c r="C152" s="392" t="s"/>
      <c r="D152" s="393" t="s"/>
      <c r="E152" s="394">
        <f>C152*10000</f>
        <v>0</v>
      </c>
      <c r="F152" s="394">
        <f>E152+E152*D152*B152/360</f>
        <v>0</v>
      </c>
      <c r="G152" s="396">
        <f>F152-E152</f>
        <v>0</v>
      </c>
      <c r="H152" s="366" t="s"/>
      <c r="I152" s="405" t="s"/>
      <c r="J152" s="406" t="s"/>
      <c r="K152" s="399" t="s"/>
      <c r="L152" s="86" t="s"/>
      <c r="M152" s="86" t="s"/>
      <c r="N152" s="86" t="s"/>
      <c r="O152" s="86" t="s"/>
      <c r="P152" s="86" t="s"/>
      <c r="Q152" s="86" t="s"/>
      <c r="R152" s="86" t="s"/>
      <c r="S152" s="86" t="s"/>
      <c r="T152" s="86" t="s"/>
      <c r="U152" s="86" t="s"/>
      <c r="V152" s="86" t="s"/>
      <c r="W152" s="86" t="s"/>
      <c r="X152" s="86" t="s"/>
    </row>
    <row r="153" spans="1:24" ht="22.5" customHeight="1">
      <c r="A153" s="390" t="s"/>
      <c r="B153" s="391" t="s"/>
      <c r="C153" s="392" t="s"/>
      <c r="D153" s="393" t="s"/>
      <c r="E153" s="394">
        <f>C153*10000</f>
        <v>0</v>
      </c>
      <c r="F153" s="394">
        <f>E153+E153*D153*B153/360</f>
        <v>0</v>
      </c>
      <c r="G153" s="396">
        <f>F153-E153</f>
        <v>0</v>
      </c>
      <c r="H153" s="366" t="s"/>
      <c r="I153" s="405" t="s"/>
      <c r="J153" s="406" t="s"/>
      <c r="K153" s="399" t="s"/>
      <c r="L153" s="86" t="s"/>
      <c r="M153" s="86" t="s"/>
      <c r="N153" s="86" t="s"/>
      <c r="O153" s="86" t="s"/>
      <c r="P153" s="86" t="s"/>
      <c r="Q153" s="86" t="s"/>
      <c r="R153" s="86" t="s"/>
      <c r="S153" s="86" t="s"/>
      <c r="T153" s="86" t="s"/>
      <c r="U153" s="86" t="s"/>
      <c r="V153" s="86" t="s"/>
      <c r="W153" s="86" t="s"/>
      <c r="X153" s="86" t="s"/>
    </row>
    <row r="154" spans="1:24" ht="22.5" customHeight="1">
      <c r="A154" s="390" t="s"/>
      <c r="B154" s="391" t="s"/>
      <c r="C154" s="392" t="s"/>
      <c r="D154" s="393" t="s"/>
      <c r="E154" s="394">
        <f>C154*10000</f>
        <v>0</v>
      </c>
      <c r="F154" s="394">
        <f>E154+E154*D154*B154/360</f>
        <v>0</v>
      </c>
      <c r="G154" s="396">
        <f>F154-E154</f>
        <v>0</v>
      </c>
      <c r="H154" s="366" t="s"/>
      <c r="I154" s="405" t="s"/>
      <c r="J154" s="406" t="s"/>
      <c r="K154" s="399" t="s"/>
      <c r="L154" s="86" t="s"/>
      <c r="M154" s="86" t="s"/>
      <c r="N154" s="86" t="s"/>
      <c r="O154" s="86" t="s"/>
      <c r="P154" s="86" t="s"/>
      <c r="Q154" s="86" t="s"/>
      <c r="R154" s="86" t="s"/>
      <c r="S154" s="86" t="s"/>
      <c r="T154" s="86" t="s"/>
      <c r="U154" s="86" t="s"/>
      <c r="V154" s="86" t="s"/>
      <c r="W154" s="86" t="s"/>
      <c r="X154" s="86" t="s"/>
    </row>
    <row r="155" spans="1:24" ht="22.5" customHeight="1">
      <c r="A155" s="390" t="s"/>
      <c r="B155" s="391" t="s"/>
      <c r="C155" s="392" t="s"/>
      <c r="D155" s="393" t="s"/>
      <c r="E155" s="394">
        <f>C155*10000</f>
        <v>0</v>
      </c>
      <c r="F155" s="394">
        <f>E155+E155*D155*B155/360</f>
        <v>0</v>
      </c>
      <c r="G155" s="396">
        <f>F155-E155</f>
        <v>0</v>
      </c>
      <c r="H155" s="366" t="s"/>
      <c r="I155" s="405" t="s"/>
      <c r="J155" s="406" t="s"/>
      <c r="K155" s="399" t="s"/>
      <c r="L155" s="86" t="s"/>
      <c r="M155" s="86" t="s"/>
      <c r="N155" s="86" t="s"/>
      <c r="O155" s="86" t="s"/>
      <c r="P155" s="86" t="s"/>
      <c r="Q155" s="86" t="s"/>
      <c r="R155" s="86" t="s"/>
      <c r="S155" s="86" t="s"/>
      <c r="T155" s="86" t="s"/>
      <c r="U155" s="86" t="s"/>
      <c r="V155" s="86" t="s"/>
      <c r="W155" s="86" t="s"/>
      <c r="X155" s="86" t="s"/>
    </row>
    <row r="156" spans="1:24" ht="22.5" customHeight="1">
      <c r="A156" s="390" t="s"/>
      <c r="B156" s="391" t="s"/>
      <c r="C156" s="392" t="s"/>
      <c r="D156" s="393" t="s"/>
      <c r="E156" s="394">
        <f>C156*10000</f>
        <v>0</v>
      </c>
      <c r="F156" s="394">
        <f>E156+E156*D156*B156/360</f>
        <v>0</v>
      </c>
      <c r="G156" s="396">
        <f>F156-E156</f>
        <v>0</v>
      </c>
      <c r="H156" s="366" t="s"/>
      <c r="I156" s="405" t="s"/>
      <c r="J156" s="406" t="s"/>
      <c r="K156" s="399" t="s"/>
      <c r="L156" s="86" t="s"/>
      <c r="M156" s="86" t="s"/>
      <c r="N156" s="86" t="s"/>
      <c r="O156" s="86" t="s"/>
      <c r="P156" s="86" t="s"/>
      <c r="Q156" s="86" t="s"/>
      <c r="R156" s="86" t="s"/>
      <c r="S156" s="86" t="s"/>
      <c r="T156" s="86" t="s"/>
      <c r="U156" s="86" t="s"/>
      <c r="V156" s="86" t="s"/>
      <c r="W156" s="86" t="s"/>
      <c r="X156" s="86" t="s"/>
    </row>
    <row r="157" spans="1:24" ht="22.5" customHeight="1">
      <c r="A157" s="390" t="s"/>
      <c r="B157" s="391" t="s"/>
      <c r="C157" s="392" t="s"/>
      <c r="D157" s="393" t="s"/>
      <c r="E157" s="394">
        <f>C157*10000</f>
        <v>0</v>
      </c>
      <c r="F157" s="394">
        <f>E157+E157*D157*B157/360</f>
        <v>0</v>
      </c>
      <c r="G157" s="396">
        <f>F157-E157</f>
        <v>0</v>
      </c>
      <c r="H157" s="366" t="s"/>
      <c r="I157" s="405" t="s"/>
      <c r="J157" s="406" t="s"/>
      <c r="K157" s="399" t="s"/>
      <c r="L157" s="86" t="s"/>
      <c r="M157" s="86" t="s"/>
      <c r="N157" s="86" t="s"/>
      <c r="O157" s="86" t="s"/>
      <c r="P157" s="86" t="s"/>
      <c r="Q157" s="86" t="s"/>
      <c r="R157" s="86" t="s"/>
      <c r="S157" s="86" t="s"/>
      <c r="T157" s="86" t="s"/>
      <c r="U157" s="86" t="s"/>
      <c r="V157" s="86" t="s"/>
      <c r="W157" s="86" t="s"/>
      <c r="X157" s="86" t="s"/>
    </row>
    <row r="158" spans="1:24" ht="22.5" customHeight="1">
      <c r="A158" s="390" t="s"/>
      <c r="B158" s="391" t="s"/>
      <c r="C158" s="392" t="s"/>
      <c r="D158" s="393" t="s"/>
      <c r="E158" s="394">
        <f>C158*10000</f>
        <v>0</v>
      </c>
      <c r="F158" s="394">
        <f>E158+E158*D158*B158/360</f>
        <v>0</v>
      </c>
      <c r="G158" s="396">
        <f>F158-E158</f>
        <v>0</v>
      </c>
      <c r="H158" s="366" t="s"/>
      <c r="I158" s="405" t="s"/>
      <c r="J158" s="406" t="s"/>
      <c r="K158" s="399" t="s"/>
      <c r="L158" s="86" t="s"/>
      <c r="M158" s="86" t="s"/>
      <c r="N158" s="86" t="s"/>
      <c r="O158" s="86" t="s"/>
      <c r="P158" s="86" t="s"/>
      <c r="Q158" s="86" t="s"/>
      <c r="R158" s="86" t="s"/>
      <c r="S158" s="86" t="s"/>
      <c r="T158" s="86" t="s"/>
      <c r="U158" s="86" t="s"/>
      <c r="V158" s="86" t="s"/>
      <c r="W158" s="86" t="s"/>
      <c r="X158" s="86" t="s"/>
    </row>
    <row r="159" spans="1:24" ht="22.5" customHeight="1">
      <c r="A159" s="390" t="s"/>
      <c r="B159" s="391" t="s"/>
      <c r="C159" s="392" t="s"/>
      <c r="D159" s="393" t="s"/>
      <c r="E159" s="394">
        <f>C159*10000</f>
        <v>0</v>
      </c>
      <c r="F159" s="394">
        <f>E159+E159*D159*B159/360</f>
        <v>0</v>
      </c>
      <c r="G159" s="396">
        <f>F159-E159</f>
        <v>0</v>
      </c>
      <c r="H159" s="366" t="s"/>
      <c r="I159" s="405" t="s"/>
      <c r="J159" s="406" t="s"/>
      <c r="K159" s="399" t="s"/>
      <c r="L159" s="86" t="s"/>
      <c r="M159" s="86" t="s"/>
      <c r="N159" s="86" t="s"/>
      <c r="O159" s="86" t="s"/>
      <c r="P159" s="86" t="s"/>
      <c r="Q159" s="86" t="s"/>
      <c r="R159" s="86" t="s"/>
      <c r="S159" s="86" t="s"/>
      <c r="T159" s="86" t="s"/>
      <c r="U159" s="86" t="s"/>
      <c r="V159" s="86" t="s"/>
      <c r="W159" s="86" t="s"/>
      <c r="X159" s="86" t="s"/>
    </row>
    <row r="160" spans="1:24" ht="22.5" customHeight="1">
      <c r="A160" s="390" t="s"/>
      <c r="B160" s="391" t="s"/>
      <c r="C160" s="392" t="s"/>
      <c r="D160" s="393" t="s"/>
      <c r="E160" s="394">
        <f>C160*10000</f>
        <v>0</v>
      </c>
      <c r="F160" s="394">
        <f>E160+E160*D160*B160/360</f>
        <v>0</v>
      </c>
      <c r="G160" s="396">
        <f>F160-E160</f>
        <v>0</v>
      </c>
      <c r="H160" s="366" t="s"/>
      <c r="I160" s="405" t="s"/>
      <c r="J160" s="406" t="s"/>
      <c r="K160" s="399" t="s"/>
      <c r="L160" s="86" t="s"/>
      <c r="M160" s="86" t="s"/>
      <c r="N160" s="86" t="s"/>
      <c r="O160" s="86" t="s"/>
      <c r="P160" s="86" t="s"/>
      <c r="Q160" s="86" t="s"/>
      <c r="R160" s="86" t="s"/>
      <c r="S160" s="86" t="s"/>
      <c r="T160" s="86" t="s"/>
      <c r="U160" s="86" t="s"/>
      <c r="V160" s="86" t="s"/>
      <c r="W160" s="86" t="s"/>
      <c r="X160" s="86" t="s"/>
    </row>
    <row r="161" spans="1:24" ht="22.5" customHeight="1">
      <c r="A161" s="390" t="s"/>
      <c r="B161" s="391" t="s"/>
      <c r="C161" s="392" t="s"/>
      <c r="D161" s="393" t="s"/>
      <c r="E161" s="394">
        <f>C161*10000</f>
        <v>0</v>
      </c>
      <c r="F161" s="394">
        <f>E161+E161*D161*B161/360</f>
        <v>0</v>
      </c>
      <c r="G161" s="396">
        <f>F161-E161</f>
        <v>0</v>
      </c>
      <c r="H161" s="366" t="s"/>
      <c r="I161" s="405" t="s"/>
      <c r="J161" s="406" t="s"/>
      <c r="K161" s="399" t="s"/>
      <c r="L161" s="86" t="s"/>
      <c r="M161" s="86" t="s"/>
      <c r="N161" s="86" t="s"/>
      <c r="O161" s="86" t="s"/>
      <c r="P161" s="86" t="s"/>
      <c r="Q161" s="86" t="s"/>
      <c r="R161" s="86" t="s"/>
      <c r="S161" s="86" t="s"/>
      <c r="T161" s="86" t="s"/>
      <c r="U161" s="86" t="s"/>
      <c r="V161" s="86" t="s"/>
      <c r="W161" s="86" t="s"/>
      <c r="X161" s="86" t="s"/>
    </row>
    <row r="162" spans="1:24" ht="22.5" customHeight="1">
      <c r="A162" s="390" t="s"/>
      <c r="B162" s="391" t="s"/>
      <c r="C162" s="392" t="s"/>
      <c r="D162" s="393" t="s"/>
      <c r="E162" s="394">
        <f>C162*10000</f>
        <v>0</v>
      </c>
      <c r="F162" s="394">
        <f>E162+E162*D162*B162/360</f>
        <v>0</v>
      </c>
      <c r="G162" s="396">
        <f>F162-E162</f>
        <v>0</v>
      </c>
      <c r="H162" s="366" t="s"/>
      <c r="I162" s="405" t="s"/>
      <c r="J162" s="406" t="s"/>
      <c r="K162" s="399" t="s"/>
      <c r="L162" s="86" t="s"/>
      <c r="M162" s="86" t="s"/>
      <c r="N162" s="86" t="s"/>
      <c r="O162" s="86" t="s"/>
      <c r="P162" s="86" t="s"/>
      <c r="Q162" s="86" t="s"/>
      <c r="R162" s="86" t="s"/>
      <c r="S162" s="86" t="s"/>
      <c r="T162" s="86" t="s"/>
      <c r="U162" s="86" t="s"/>
      <c r="V162" s="86" t="s"/>
      <c r="W162" s="86" t="s"/>
      <c r="X162" s="86" t="s"/>
    </row>
    <row r="163" spans="1:24" ht="22.5" customHeight="1">
      <c r="A163" s="390" t="s"/>
      <c r="B163" s="391" t="s"/>
      <c r="C163" s="392" t="s"/>
      <c r="D163" s="393" t="s"/>
      <c r="E163" s="394">
        <f>C163*10000</f>
        <v>0</v>
      </c>
      <c r="F163" s="394">
        <f>E163+E163*D163*B163/360</f>
        <v>0</v>
      </c>
      <c r="G163" s="396">
        <f>F163-E163</f>
        <v>0</v>
      </c>
      <c r="H163" s="366" t="s"/>
      <c r="I163" s="405" t="s"/>
      <c r="J163" s="406" t="s"/>
      <c r="K163" s="399" t="s"/>
      <c r="L163" s="86" t="s"/>
      <c r="M163" s="86" t="s"/>
      <c r="N163" s="86" t="s"/>
      <c r="O163" s="86" t="s"/>
      <c r="P163" s="86" t="s"/>
      <c r="Q163" s="86" t="s"/>
      <c r="R163" s="86" t="s"/>
      <c r="S163" s="86" t="s"/>
      <c r="T163" s="86" t="s"/>
      <c r="U163" s="86" t="s"/>
      <c r="V163" s="86" t="s"/>
      <c r="W163" s="86" t="s"/>
      <c r="X163" s="86" t="s"/>
    </row>
    <row r="164" spans="1:24" ht="22.5" customHeight="1">
      <c r="A164" s="390" t="s"/>
      <c r="B164" s="391" t="s"/>
      <c r="C164" s="392" t="s"/>
      <c r="D164" s="393" t="s"/>
      <c r="E164" s="394">
        <f>C164*10000</f>
        <v>0</v>
      </c>
      <c r="F164" s="394">
        <f>E164+E164*D164*B164/360</f>
        <v>0</v>
      </c>
      <c r="G164" s="396">
        <f>F164-E164</f>
        <v>0</v>
      </c>
      <c r="H164" s="366" t="s"/>
      <c r="I164" s="405" t="s"/>
      <c r="J164" s="406" t="s"/>
      <c r="K164" s="399" t="s"/>
      <c r="L164" s="86" t="s"/>
      <c r="M164" s="86" t="s"/>
      <c r="N164" s="86" t="s"/>
      <c r="O164" s="86" t="s"/>
      <c r="P164" s="86" t="s"/>
      <c r="Q164" s="86" t="s"/>
      <c r="R164" s="86" t="s"/>
      <c r="S164" s="86" t="s"/>
      <c r="T164" s="86" t="s"/>
      <c r="U164" s="86" t="s"/>
      <c r="V164" s="86" t="s"/>
      <c r="W164" s="86" t="s"/>
      <c r="X164" s="86" t="s"/>
    </row>
    <row r="165" spans="1:24" ht="22.5" customHeight="1">
      <c r="A165" s="390" t="s"/>
      <c r="B165" s="391" t="s"/>
      <c r="C165" s="392" t="s"/>
      <c r="D165" s="393" t="s"/>
      <c r="E165" s="394">
        <f>C165*10000</f>
        <v>0</v>
      </c>
      <c r="F165" s="394">
        <f>E165+E165*D165*B165/360</f>
        <v>0</v>
      </c>
      <c r="G165" s="396">
        <f>F165-E165</f>
        <v>0</v>
      </c>
      <c r="H165" s="366" t="s"/>
      <c r="I165" s="405" t="s"/>
      <c r="J165" s="406" t="s"/>
      <c r="K165" s="399" t="s"/>
      <c r="L165" s="86" t="s"/>
      <c r="M165" s="86" t="s"/>
      <c r="N165" s="86" t="s"/>
      <c r="O165" s="86" t="s"/>
      <c r="P165" s="86" t="s"/>
      <c r="Q165" s="86" t="s"/>
      <c r="R165" s="86" t="s"/>
      <c r="S165" s="86" t="s"/>
      <c r="T165" s="86" t="s"/>
      <c r="U165" s="86" t="s"/>
      <c r="V165" s="86" t="s"/>
      <c r="W165" s="86" t="s"/>
      <c r="X165" s="86" t="s"/>
    </row>
    <row r="166" spans="1:24" ht="22.5" customHeight="1">
      <c r="A166" s="390" t="s"/>
      <c r="B166" s="391" t="s"/>
      <c r="C166" s="392" t="s"/>
      <c r="D166" s="393" t="s"/>
      <c r="E166" s="394">
        <f>C166*10000</f>
        <v>0</v>
      </c>
      <c r="F166" s="394">
        <f>E166+E166*D166*B166/360</f>
        <v>0</v>
      </c>
      <c r="G166" s="396">
        <f>F166-E166</f>
        <v>0</v>
      </c>
      <c r="H166" s="366" t="s"/>
      <c r="I166" s="405" t="s"/>
      <c r="J166" s="406" t="s"/>
      <c r="K166" s="399" t="s"/>
      <c r="L166" s="86" t="s"/>
      <c r="M166" s="86" t="s"/>
      <c r="N166" s="86" t="s"/>
      <c r="O166" s="86" t="s"/>
      <c r="P166" s="86" t="s"/>
      <c r="Q166" s="86" t="s"/>
      <c r="R166" s="86" t="s"/>
      <c r="S166" s="86" t="s"/>
      <c r="T166" s="86" t="s"/>
      <c r="U166" s="86" t="s"/>
      <c r="V166" s="86" t="s"/>
      <c r="W166" s="86" t="s"/>
      <c r="X166" s="86" t="s"/>
    </row>
    <row r="167" spans="1:24" ht="22.5" customHeight="1">
      <c r="A167" s="390" t="s"/>
      <c r="B167" s="391" t="s"/>
      <c r="C167" s="392" t="s"/>
      <c r="D167" s="393" t="s"/>
      <c r="E167" s="394">
        <f>C167*10000</f>
        <v>0</v>
      </c>
      <c r="F167" s="394">
        <f>E167+E167*D167*B167/360</f>
        <v>0</v>
      </c>
      <c r="G167" s="396">
        <f>F167-E167</f>
        <v>0</v>
      </c>
      <c r="H167" s="366" t="s"/>
      <c r="I167" s="405" t="s"/>
      <c r="J167" s="406" t="s"/>
      <c r="K167" s="399" t="s"/>
      <c r="L167" s="86" t="s"/>
      <c r="M167" s="86" t="s"/>
      <c r="N167" s="86" t="s"/>
      <c r="O167" s="86" t="s"/>
      <c r="P167" s="86" t="s"/>
      <c r="Q167" s="86" t="s"/>
      <c r="R167" s="86" t="s"/>
      <c r="S167" s="86" t="s"/>
      <c r="T167" s="86" t="s"/>
      <c r="U167" s="86" t="s"/>
      <c r="V167" s="86" t="s"/>
      <c r="W167" s="86" t="s"/>
      <c r="X167" s="86" t="s"/>
    </row>
    <row r="168" spans="1:24" ht="22.5" customHeight="1">
      <c r="A168" s="390" t="s"/>
      <c r="B168" s="391" t="s"/>
      <c r="C168" s="392" t="s"/>
      <c r="D168" s="393" t="s"/>
      <c r="E168" s="394">
        <f>C168*10000</f>
        <v>0</v>
      </c>
      <c r="F168" s="394">
        <f>E168+E168*D168*B168/360</f>
        <v>0</v>
      </c>
      <c r="G168" s="396">
        <f>F168-E168</f>
        <v>0</v>
      </c>
      <c r="H168" s="366" t="s"/>
      <c r="I168" s="405" t="s"/>
      <c r="J168" s="406" t="s"/>
      <c r="K168" s="399" t="s"/>
      <c r="L168" s="86" t="s"/>
      <c r="M168" s="86" t="s"/>
      <c r="N168" s="86" t="s"/>
      <c r="O168" s="86" t="s"/>
      <c r="P168" s="86" t="s"/>
      <c r="Q168" s="86" t="s"/>
      <c r="R168" s="86" t="s"/>
      <c r="S168" s="86" t="s"/>
      <c r="T168" s="86" t="s"/>
      <c r="U168" s="86" t="s"/>
      <c r="V168" s="86" t="s"/>
      <c r="W168" s="86" t="s"/>
      <c r="X168" s="86" t="s"/>
    </row>
    <row r="169" spans="1:24" ht="22.5" customHeight="1">
      <c r="A169" s="390" t="s"/>
      <c r="B169" s="391" t="s"/>
      <c r="C169" s="392" t="s"/>
      <c r="D169" s="393" t="s"/>
      <c r="E169" s="394">
        <f>C169*10000</f>
        <v>0</v>
      </c>
      <c r="F169" s="394">
        <f>E169+E169*D169*B169/360</f>
        <v>0</v>
      </c>
      <c r="G169" s="396">
        <f>F169-E169</f>
        <v>0</v>
      </c>
      <c r="H169" s="366" t="s"/>
      <c r="I169" s="405" t="s"/>
      <c r="J169" s="406" t="s"/>
      <c r="K169" s="399" t="s"/>
      <c r="L169" s="86" t="s"/>
      <c r="M169" s="86" t="s"/>
      <c r="N169" s="86" t="s"/>
      <c r="O169" s="86" t="s"/>
      <c r="P169" s="86" t="s"/>
      <c r="Q169" s="86" t="s"/>
      <c r="R169" s="86" t="s"/>
      <c r="S169" s="86" t="s"/>
      <c r="T169" s="86" t="s"/>
      <c r="U169" s="86" t="s"/>
      <c r="V169" s="86" t="s"/>
      <c r="W169" s="86" t="s"/>
      <c r="X169" s="86" t="s"/>
    </row>
    <row r="170" spans="1:24" ht="22.5" customHeight="1">
      <c r="A170" s="390" t="s"/>
      <c r="B170" s="391" t="s"/>
      <c r="C170" s="392" t="s"/>
      <c r="D170" s="393" t="s"/>
      <c r="E170" s="394">
        <f>C170*10000</f>
        <v>0</v>
      </c>
      <c r="F170" s="394">
        <f>E170+E170*D170*B170/360</f>
        <v>0</v>
      </c>
      <c r="G170" s="396">
        <f>F170-E170</f>
        <v>0</v>
      </c>
      <c r="H170" s="366" t="s"/>
      <c r="I170" s="405" t="s"/>
      <c r="J170" s="406" t="s"/>
      <c r="K170" s="399" t="s"/>
      <c r="L170" s="86" t="s"/>
      <c r="M170" s="86" t="s"/>
      <c r="N170" s="86" t="s"/>
      <c r="O170" s="86" t="s"/>
      <c r="P170" s="86" t="s"/>
      <c r="Q170" s="86" t="s"/>
      <c r="R170" s="86" t="s"/>
      <c r="S170" s="86" t="s"/>
      <c r="T170" s="86" t="s"/>
      <c r="U170" s="86" t="s"/>
      <c r="V170" s="86" t="s"/>
      <c r="W170" s="86" t="s"/>
      <c r="X170" s="86" t="s"/>
    </row>
    <row r="171" spans="1:24" ht="22.5" customHeight="1">
      <c r="A171" s="390" t="s"/>
      <c r="B171" s="391" t="s"/>
      <c r="C171" s="392" t="s"/>
      <c r="D171" s="393" t="s"/>
      <c r="E171" s="394">
        <f>C171*10000</f>
        <v>0</v>
      </c>
      <c r="F171" s="394">
        <f>E171+E171*D171*B171/360</f>
        <v>0</v>
      </c>
      <c r="G171" s="396">
        <f>F171-E171</f>
        <v>0</v>
      </c>
      <c r="H171" s="366" t="s"/>
      <c r="I171" s="405" t="s"/>
      <c r="J171" s="406" t="s"/>
      <c r="K171" s="399" t="s"/>
      <c r="L171" s="86" t="s"/>
      <c r="M171" s="86" t="s"/>
      <c r="N171" s="86" t="s"/>
      <c r="O171" s="86" t="s"/>
      <c r="P171" s="86" t="s"/>
      <c r="Q171" s="86" t="s"/>
      <c r="R171" s="86" t="s"/>
      <c r="S171" s="86" t="s"/>
      <c r="T171" s="86" t="s"/>
      <c r="U171" s="86" t="s"/>
      <c r="V171" s="86" t="s"/>
      <c r="W171" s="86" t="s"/>
      <c r="X171" s="86" t="s"/>
    </row>
    <row r="172" spans="1:24" ht="22.5" customHeight="1">
      <c r="A172" s="390" t="s"/>
      <c r="B172" s="391" t="s"/>
      <c r="C172" s="392" t="s"/>
      <c r="D172" s="393" t="s"/>
      <c r="E172" s="394">
        <f>C172*10000</f>
        <v>0</v>
      </c>
      <c r="F172" s="394">
        <f>E172+E172*D172*B172/360</f>
        <v>0</v>
      </c>
      <c r="G172" s="396">
        <f>F172-E172</f>
        <v>0</v>
      </c>
      <c r="H172" s="366" t="s"/>
      <c r="I172" s="405" t="s"/>
      <c r="J172" s="406" t="s"/>
      <c r="K172" s="399" t="s"/>
      <c r="L172" s="86" t="s"/>
      <c r="M172" s="86" t="s"/>
      <c r="N172" s="86" t="s"/>
      <c r="O172" s="86" t="s"/>
      <c r="P172" s="86" t="s"/>
      <c r="Q172" s="86" t="s"/>
      <c r="R172" s="86" t="s"/>
      <c r="S172" s="86" t="s"/>
      <c r="T172" s="86" t="s"/>
      <c r="U172" s="86" t="s"/>
      <c r="V172" s="86" t="s"/>
      <c r="W172" s="86" t="s"/>
      <c r="X172" s="86" t="s"/>
    </row>
    <row r="173" spans="1:24" ht="22.5" customHeight="1">
      <c r="A173" s="390" t="s"/>
      <c r="B173" s="391" t="s"/>
      <c r="C173" s="392" t="s"/>
      <c r="D173" s="393" t="s"/>
      <c r="E173" s="394">
        <f>C173*10000</f>
        <v>0</v>
      </c>
      <c r="F173" s="394">
        <f>E173+E173*D173*B173/360</f>
        <v>0</v>
      </c>
      <c r="G173" s="396">
        <f>F173-E173</f>
        <v>0</v>
      </c>
      <c r="H173" s="366" t="s"/>
      <c r="I173" s="405" t="s"/>
      <c r="J173" s="406" t="s"/>
      <c r="K173" s="399" t="s"/>
      <c r="L173" s="86" t="s"/>
      <c r="M173" s="86" t="s"/>
      <c r="N173" s="86" t="s"/>
      <c r="O173" s="86" t="s"/>
      <c r="P173" s="86" t="s"/>
      <c r="Q173" s="86" t="s"/>
      <c r="R173" s="86" t="s"/>
      <c r="S173" s="86" t="s"/>
      <c r="T173" s="86" t="s"/>
      <c r="U173" s="86" t="s"/>
      <c r="V173" s="86" t="s"/>
      <c r="W173" s="86" t="s"/>
      <c r="X173" s="86" t="s"/>
    </row>
    <row r="174" spans="1:24" ht="22.5" customHeight="1">
      <c r="A174" s="390" t="s"/>
      <c r="B174" s="391" t="s"/>
      <c r="C174" s="392" t="s"/>
      <c r="D174" s="393" t="s"/>
      <c r="E174" s="394">
        <f>C174*10000</f>
        <v>0</v>
      </c>
      <c r="F174" s="394">
        <f>E174+E174*D174*B174/360</f>
        <v>0</v>
      </c>
      <c r="G174" s="396">
        <f>F174-E174</f>
        <v>0</v>
      </c>
      <c r="H174" s="366" t="s"/>
      <c r="I174" s="405" t="s"/>
      <c r="J174" s="406" t="s"/>
      <c r="K174" s="399" t="s"/>
      <c r="L174" s="86" t="s"/>
      <c r="M174" s="86" t="s"/>
      <c r="N174" s="86" t="s"/>
      <c r="O174" s="86" t="s"/>
      <c r="P174" s="86" t="s"/>
      <c r="Q174" s="86" t="s"/>
      <c r="R174" s="86" t="s"/>
      <c r="S174" s="86" t="s"/>
      <c r="T174" s="86" t="s"/>
      <c r="U174" s="86" t="s"/>
      <c r="V174" s="86" t="s"/>
      <c r="W174" s="86" t="s"/>
      <c r="X174" s="86" t="s"/>
    </row>
    <row r="175" spans="1:24" ht="22.5" customHeight="1">
      <c r="A175" s="390" t="s"/>
      <c r="B175" s="391" t="s"/>
      <c r="C175" s="392" t="s"/>
      <c r="D175" s="393" t="s"/>
      <c r="E175" s="394">
        <f>C175*10000</f>
        <v>0</v>
      </c>
      <c r="F175" s="394">
        <f>E175+E175*D175*B175/360</f>
        <v>0</v>
      </c>
      <c r="G175" s="396">
        <f>F175-E175</f>
        <v>0</v>
      </c>
      <c r="H175" s="366" t="s"/>
      <c r="I175" s="405" t="s"/>
      <c r="J175" s="406" t="s"/>
      <c r="K175" s="399" t="s"/>
      <c r="L175" s="86" t="s"/>
      <c r="M175" s="86" t="s"/>
      <c r="N175" s="86" t="s"/>
      <c r="O175" s="86" t="s"/>
      <c r="P175" s="86" t="s"/>
      <c r="Q175" s="86" t="s"/>
      <c r="R175" s="86" t="s"/>
      <c r="S175" s="86" t="s"/>
      <c r="T175" s="86" t="s"/>
      <c r="U175" s="86" t="s"/>
      <c r="V175" s="86" t="s"/>
      <c r="W175" s="86" t="s"/>
      <c r="X175" s="86" t="s"/>
    </row>
    <row r="176" spans="1:24" ht="22.5" customHeight="1">
      <c r="A176" s="390" t="s"/>
      <c r="B176" s="391" t="s"/>
      <c r="C176" s="392" t="s"/>
      <c r="D176" s="393" t="s"/>
      <c r="E176" s="394">
        <f>C176*10000</f>
        <v>0</v>
      </c>
      <c r="F176" s="394">
        <f>E176+E176*D176*B176/360</f>
        <v>0</v>
      </c>
      <c r="G176" s="396">
        <f>F176-E176</f>
        <v>0</v>
      </c>
      <c r="H176" s="366" t="s"/>
      <c r="I176" s="405" t="s"/>
      <c r="J176" s="406" t="s"/>
      <c r="K176" s="399" t="s"/>
      <c r="L176" s="86" t="s"/>
      <c r="M176" s="86" t="s"/>
      <c r="N176" s="86" t="s"/>
      <c r="O176" s="86" t="s"/>
      <c r="P176" s="86" t="s"/>
      <c r="Q176" s="86" t="s"/>
      <c r="R176" s="86" t="s"/>
      <c r="S176" s="86" t="s"/>
      <c r="T176" s="86" t="s"/>
      <c r="U176" s="86" t="s"/>
      <c r="V176" s="86" t="s"/>
      <c r="W176" s="86" t="s"/>
      <c r="X176" s="86" t="s"/>
    </row>
    <row r="177" spans="1:24" ht="22.5" customHeight="1">
      <c r="A177" s="390" t="s"/>
      <c r="B177" s="391" t="s"/>
      <c r="C177" s="392" t="s"/>
      <c r="D177" s="393" t="s"/>
      <c r="E177" s="394">
        <f>C177*10000</f>
        <v>0</v>
      </c>
      <c r="F177" s="394">
        <f>E177+E177*D177*B177/360</f>
        <v>0</v>
      </c>
      <c r="G177" s="396">
        <f>F177-E177</f>
        <v>0</v>
      </c>
      <c r="H177" s="366" t="s"/>
      <c r="I177" s="405" t="s"/>
      <c r="J177" s="406" t="s"/>
      <c r="K177" s="399" t="s"/>
      <c r="L177" s="86" t="s"/>
      <c r="M177" s="86" t="s"/>
      <c r="N177" s="86" t="s"/>
      <c r="O177" s="86" t="s"/>
      <c r="P177" s="86" t="s"/>
      <c r="Q177" s="86" t="s"/>
      <c r="R177" s="86" t="s"/>
      <c r="S177" s="86" t="s"/>
      <c r="T177" s="86" t="s"/>
      <c r="U177" s="86" t="s"/>
      <c r="V177" s="86" t="s"/>
      <c r="W177" s="86" t="s"/>
      <c r="X177" s="86" t="s"/>
    </row>
    <row r="178" spans="1:24" ht="22.5" customHeight="1">
      <c r="A178" s="390" t="s"/>
      <c r="B178" s="391" t="s"/>
      <c r="C178" s="392" t="s"/>
      <c r="D178" s="393" t="s"/>
      <c r="E178" s="394">
        <f>C178*10000</f>
        <v>0</v>
      </c>
      <c r="F178" s="394">
        <f>E178+E178*D178*B178/360</f>
        <v>0</v>
      </c>
      <c r="G178" s="396">
        <f>F178-E178</f>
        <v>0</v>
      </c>
      <c r="H178" s="366" t="s"/>
      <c r="I178" s="405" t="s"/>
      <c r="J178" s="406" t="s"/>
      <c r="K178" s="399" t="s"/>
      <c r="L178" s="86" t="s"/>
      <c r="M178" s="86" t="s"/>
      <c r="N178" s="86" t="s"/>
      <c r="O178" s="86" t="s"/>
      <c r="P178" s="86" t="s"/>
      <c r="Q178" s="86" t="s"/>
      <c r="R178" s="86" t="s"/>
      <c r="S178" s="86" t="s"/>
      <c r="T178" s="86" t="s"/>
      <c r="U178" s="86" t="s"/>
      <c r="V178" s="86" t="s"/>
      <c r="W178" s="86" t="s"/>
      <c r="X178" s="86" t="s"/>
    </row>
    <row r="179" spans="1:24" ht="22.5" customHeight="1">
      <c r="A179" s="390" t="s"/>
      <c r="B179" s="391" t="s"/>
      <c r="C179" s="392" t="s"/>
      <c r="D179" s="393" t="s"/>
      <c r="E179" s="394">
        <f>C179*10000</f>
        <v>0</v>
      </c>
      <c r="F179" s="394">
        <f>E179+E179*D179*B179/360</f>
        <v>0</v>
      </c>
      <c r="G179" s="396">
        <f>F179-E179</f>
        <v>0</v>
      </c>
      <c r="H179" s="366" t="s"/>
      <c r="I179" s="405" t="s"/>
      <c r="J179" s="406" t="s"/>
      <c r="K179" s="399" t="s"/>
      <c r="L179" s="86" t="s"/>
      <c r="M179" s="86" t="s"/>
      <c r="N179" s="86" t="s"/>
      <c r="O179" s="86" t="s"/>
      <c r="P179" s="86" t="s"/>
      <c r="Q179" s="86" t="s"/>
      <c r="R179" s="86" t="s"/>
      <c r="S179" s="86" t="s"/>
      <c r="T179" s="86" t="s"/>
      <c r="U179" s="86" t="s"/>
      <c r="V179" s="86" t="s"/>
      <c r="W179" s="86" t="s"/>
      <c r="X179" s="86" t="s"/>
    </row>
    <row r="180" spans="1:24" ht="22.5" customHeight="1">
      <c r="A180" s="390" t="s"/>
      <c r="B180" s="391" t="s"/>
      <c r="C180" s="392" t="s"/>
      <c r="D180" s="393" t="s"/>
      <c r="E180" s="394">
        <f>C180*10000</f>
        <v>0</v>
      </c>
      <c r="F180" s="394">
        <f>E180+E180*D180*B180/360</f>
        <v>0</v>
      </c>
      <c r="G180" s="396">
        <f>F180-E180</f>
        <v>0</v>
      </c>
      <c r="H180" s="366" t="s"/>
      <c r="I180" s="405" t="s"/>
      <c r="J180" s="406" t="s"/>
      <c r="K180" s="399" t="s"/>
      <c r="L180" s="86" t="s"/>
      <c r="M180" s="86" t="s"/>
      <c r="N180" s="86" t="s"/>
      <c r="O180" s="86" t="s"/>
      <c r="P180" s="86" t="s"/>
      <c r="Q180" s="86" t="s"/>
      <c r="R180" s="86" t="s"/>
      <c r="S180" s="86" t="s"/>
      <c r="T180" s="86" t="s"/>
      <c r="U180" s="86" t="s"/>
      <c r="V180" s="86" t="s"/>
      <c r="W180" s="86" t="s"/>
      <c r="X180" s="86" t="s"/>
    </row>
    <row r="181" spans="1:24" ht="22.5" customHeight="1">
      <c r="A181" s="390" t="s"/>
      <c r="B181" s="391" t="s"/>
      <c r="C181" s="392" t="s"/>
      <c r="D181" s="393" t="s"/>
      <c r="E181" s="394">
        <f>C181*10000</f>
        <v>0</v>
      </c>
      <c r="F181" s="394">
        <f>E181+E181*D181*B181/360</f>
        <v>0</v>
      </c>
      <c r="G181" s="396">
        <f>F181-E181</f>
        <v>0</v>
      </c>
      <c r="H181" s="366" t="s"/>
      <c r="I181" s="405" t="s"/>
      <c r="J181" s="406" t="s"/>
      <c r="K181" s="399" t="s"/>
      <c r="L181" s="86" t="s"/>
      <c r="M181" s="86" t="s"/>
      <c r="N181" s="86" t="s"/>
      <c r="O181" s="86" t="s"/>
      <c r="P181" s="86" t="s"/>
      <c r="Q181" s="86" t="s"/>
      <c r="R181" s="86" t="s"/>
      <c r="S181" s="86" t="s"/>
      <c r="T181" s="86" t="s"/>
      <c r="U181" s="86" t="s"/>
      <c r="V181" s="86" t="s"/>
      <c r="W181" s="86" t="s"/>
      <c r="X181" s="86" t="s"/>
    </row>
    <row r="182" spans="1:24" ht="22.5" customHeight="1">
      <c r="A182" s="390" t="s"/>
      <c r="B182" s="391" t="s"/>
      <c r="C182" s="392" t="s"/>
      <c r="D182" s="393" t="s"/>
      <c r="E182" s="394">
        <f>C182*10000</f>
        <v>0</v>
      </c>
      <c r="F182" s="394">
        <f>E182+E182*D182*B182/360</f>
        <v>0</v>
      </c>
      <c r="G182" s="396">
        <f>F182-E182</f>
        <v>0</v>
      </c>
      <c r="H182" s="366" t="s"/>
      <c r="I182" s="405" t="s"/>
      <c r="J182" s="406" t="s"/>
      <c r="K182" s="399" t="s"/>
      <c r="L182" s="86" t="s"/>
      <c r="M182" s="86" t="s"/>
      <c r="N182" s="86" t="s"/>
      <c r="O182" s="86" t="s"/>
      <c r="P182" s="86" t="s"/>
      <c r="Q182" s="86" t="s"/>
      <c r="R182" s="86" t="s"/>
      <c r="S182" s="86" t="s"/>
      <c r="T182" s="86" t="s"/>
      <c r="U182" s="86" t="s"/>
      <c r="V182" s="86" t="s"/>
      <c r="W182" s="86" t="s"/>
      <c r="X182" s="86" t="s"/>
    </row>
    <row r="183" spans="1:24" ht="22.5" customHeight="1">
      <c r="A183" s="390" t="s"/>
      <c r="B183" s="391" t="s"/>
      <c r="C183" s="392" t="s"/>
      <c r="D183" s="393" t="s"/>
      <c r="E183" s="394">
        <f>C183*10000</f>
        <v>0</v>
      </c>
      <c r="F183" s="394">
        <f>E183+E183*D183*B183/360</f>
        <v>0</v>
      </c>
      <c r="G183" s="396">
        <f>F183-E183</f>
        <v>0</v>
      </c>
      <c r="H183" s="366" t="s"/>
      <c r="I183" s="405" t="s"/>
      <c r="J183" s="406" t="s"/>
      <c r="K183" s="399" t="s"/>
      <c r="L183" s="86" t="s"/>
      <c r="M183" s="86" t="s"/>
      <c r="N183" s="86" t="s"/>
      <c r="O183" s="86" t="s"/>
      <c r="P183" s="86" t="s"/>
      <c r="Q183" s="86" t="s"/>
      <c r="R183" s="86" t="s"/>
      <c r="S183" s="86" t="s"/>
      <c r="T183" s="86" t="s"/>
      <c r="U183" s="86" t="s"/>
      <c r="V183" s="86" t="s"/>
      <c r="W183" s="86" t="s"/>
      <c r="X183" s="86" t="s"/>
    </row>
    <row r="184" spans="1:24" ht="22.5" customHeight="1">
      <c r="A184" s="390" t="s"/>
      <c r="B184" s="391" t="s"/>
      <c r="C184" s="392" t="s"/>
      <c r="D184" s="393" t="s"/>
      <c r="E184" s="394">
        <f>C184*10000</f>
        <v>0</v>
      </c>
      <c r="F184" s="394">
        <f>E184+E184*D184*B184/360</f>
        <v>0</v>
      </c>
      <c r="G184" s="396">
        <f>F184-E184</f>
        <v>0</v>
      </c>
      <c r="H184" s="366" t="s"/>
      <c r="I184" s="405" t="s"/>
      <c r="J184" s="406" t="s"/>
      <c r="K184" s="399" t="s"/>
      <c r="L184" s="86" t="s"/>
      <c r="M184" s="86" t="s"/>
      <c r="N184" s="86" t="s"/>
      <c r="O184" s="86" t="s"/>
      <c r="P184" s="86" t="s"/>
      <c r="Q184" s="86" t="s"/>
      <c r="R184" s="86" t="s"/>
      <c r="S184" s="86" t="s"/>
      <c r="T184" s="86" t="s"/>
      <c r="U184" s="86" t="s"/>
      <c r="V184" s="86" t="s"/>
      <c r="W184" s="86" t="s"/>
      <c r="X184" s="86" t="s"/>
    </row>
    <row r="185" spans="1:24" ht="22.5" customHeight="1">
      <c r="A185" s="390" t="s"/>
      <c r="B185" s="391" t="s"/>
      <c r="C185" s="392" t="s"/>
      <c r="D185" s="393" t="s"/>
      <c r="E185" s="394">
        <f>C185*10000</f>
        <v>0</v>
      </c>
      <c r="F185" s="394">
        <f>E185+E185*D185*B185/360</f>
        <v>0</v>
      </c>
      <c r="G185" s="396">
        <f>F185-E185</f>
        <v>0</v>
      </c>
      <c r="H185" s="366" t="s"/>
      <c r="I185" s="405" t="s"/>
      <c r="J185" s="406" t="s"/>
      <c r="K185" s="399" t="s"/>
      <c r="L185" s="86" t="s"/>
      <c r="M185" s="86" t="s"/>
      <c r="N185" s="86" t="s"/>
      <c r="O185" s="86" t="s"/>
      <c r="P185" s="86" t="s"/>
      <c r="Q185" s="86" t="s"/>
      <c r="R185" s="86" t="s"/>
      <c r="S185" s="86" t="s"/>
      <c r="T185" s="86" t="s"/>
      <c r="U185" s="86" t="s"/>
      <c r="V185" s="86" t="s"/>
      <c r="W185" s="86" t="s"/>
      <c r="X185" s="86" t="s"/>
    </row>
    <row r="186" spans="1:24" ht="22.5" customHeight="1">
      <c r="A186" s="390" t="s"/>
      <c r="B186" s="391" t="s"/>
      <c r="C186" s="392" t="s"/>
      <c r="D186" s="393" t="s"/>
      <c r="E186" s="394">
        <f>C186*10000</f>
        <v>0</v>
      </c>
      <c r="F186" s="394">
        <f>E186+E186*D186*B186/360</f>
        <v>0</v>
      </c>
      <c r="G186" s="396">
        <f>F186-E186</f>
        <v>0</v>
      </c>
      <c r="H186" s="366" t="s"/>
      <c r="I186" s="405" t="s"/>
      <c r="J186" s="406" t="s"/>
      <c r="K186" s="399" t="s"/>
      <c r="L186" s="86" t="s"/>
      <c r="M186" s="86" t="s"/>
      <c r="N186" s="86" t="s"/>
      <c r="O186" s="86" t="s"/>
      <c r="P186" s="86" t="s"/>
      <c r="Q186" s="86" t="s"/>
      <c r="R186" s="86" t="s"/>
      <c r="S186" s="86" t="s"/>
      <c r="T186" s="86" t="s"/>
      <c r="U186" s="86" t="s"/>
      <c r="V186" s="86" t="s"/>
      <c r="W186" s="86" t="s"/>
      <c r="X186" s="86" t="s"/>
    </row>
    <row r="187" spans="1:24" ht="22.5" customHeight="1">
      <c r="A187" s="390" t="s"/>
      <c r="B187" s="391" t="s"/>
      <c r="C187" s="392" t="s"/>
      <c r="D187" s="393" t="s"/>
      <c r="E187" s="394">
        <f>C187*10000</f>
        <v>0</v>
      </c>
      <c r="F187" s="394">
        <f>E187+E187*D187*B187/360</f>
        <v>0</v>
      </c>
      <c r="G187" s="396">
        <f>F187-E187</f>
        <v>0</v>
      </c>
      <c r="H187" s="366" t="s"/>
      <c r="I187" s="405" t="s"/>
      <c r="J187" s="406" t="s"/>
      <c r="K187" s="399" t="s"/>
      <c r="L187" s="86" t="s"/>
      <c r="M187" s="86" t="s"/>
      <c r="N187" s="86" t="s"/>
      <c r="O187" s="86" t="s"/>
      <c r="P187" s="86" t="s"/>
      <c r="Q187" s="86" t="s"/>
      <c r="R187" s="86" t="s"/>
      <c r="S187" s="86" t="s"/>
      <c r="T187" s="86" t="s"/>
      <c r="U187" s="86" t="s"/>
      <c r="V187" s="86" t="s"/>
      <c r="W187" s="86" t="s"/>
      <c r="X187" s="86" t="s"/>
    </row>
    <row r="188" spans="1:24" ht="22.5" customHeight="1">
      <c r="A188" s="390" t="s"/>
      <c r="B188" s="391" t="s"/>
      <c r="C188" s="392" t="s"/>
      <c r="D188" s="393" t="s"/>
      <c r="E188" s="394">
        <f>C188*10000</f>
        <v>0</v>
      </c>
      <c r="F188" s="394">
        <f>E188+E188*D188*B188/360</f>
        <v>0</v>
      </c>
      <c r="G188" s="396">
        <f>F188-E188</f>
        <v>0</v>
      </c>
      <c r="H188" s="366" t="s"/>
      <c r="I188" s="405" t="s"/>
      <c r="J188" s="406" t="s"/>
      <c r="K188" s="399" t="s"/>
      <c r="L188" s="86" t="s"/>
      <c r="M188" s="86" t="s"/>
      <c r="N188" s="86" t="s"/>
      <c r="O188" s="86" t="s"/>
      <c r="P188" s="86" t="s"/>
      <c r="Q188" s="86" t="s"/>
      <c r="R188" s="86" t="s"/>
      <c r="S188" s="86" t="s"/>
      <c r="T188" s="86" t="s"/>
      <c r="U188" s="86" t="s"/>
      <c r="V188" s="86" t="s"/>
      <c r="W188" s="86" t="s"/>
      <c r="X188" s="86" t="s"/>
    </row>
    <row r="189" spans="1:24" ht="22.5" customHeight="1">
      <c r="A189" s="390" t="s"/>
      <c r="B189" s="391" t="s"/>
      <c r="C189" s="392" t="s"/>
      <c r="D189" s="393" t="s"/>
      <c r="E189" s="394">
        <f>C189*10000</f>
        <v>0</v>
      </c>
      <c r="F189" s="394">
        <f>E189+E189*D189*B189/360</f>
        <v>0</v>
      </c>
      <c r="G189" s="396">
        <f>F189-E189</f>
        <v>0</v>
      </c>
      <c r="H189" s="366" t="s"/>
      <c r="I189" s="405" t="s"/>
      <c r="J189" s="406" t="s"/>
      <c r="K189" s="399" t="s"/>
      <c r="L189" s="86" t="s"/>
      <c r="M189" s="86" t="s"/>
      <c r="N189" s="86" t="s"/>
      <c r="O189" s="86" t="s"/>
      <c r="P189" s="86" t="s"/>
      <c r="Q189" s="86" t="s"/>
      <c r="R189" s="86" t="s"/>
      <c r="S189" s="86" t="s"/>
      <c r="T189" s="86" t="s"/>
      <c r="U189" s="86" t="s"/>
      <c r="V189" s="86" t="s"/>
      <c r="W189" s="86" t="s"/>
      <c r="X189" s="86" t="s"/>
    </row>
    <row r="190" spans="1:24" ht="22.5" customHeight="1">
      <c r="A190" s="390" t="s"/>
      <c r="B190" s="391" t="s"/>
      <c r="C190" s="392" t="s"/>
      <c r="D190" s="393" t="s"/>
      <c r="E190" s="394">
        <f>C190*10000</f>
        <v>0</v>
      </c>
      <c r="F190" s="394">
        <f>E190+E190*D190*B190/360</f>
        <v>0</v>
      </c>
      <c r="G190" s="396">
        <f>F190-E190</f>
        <v>0</v>
      </c>
      <c r="H190" s="366" t="s"/>
      <c r="I190" s="405" t="s"/>
      <c r="J190" s="406" t="s"/>
      <c r="K190" s="399" t="s"/>
      <c r="L190" s="86" t="s"/>
      <c r="M190" s="86" t="s"/>
      <c r="N190" s="86" t="s"/>
      <c r="O190" s="86" t="s"/>
      <c r="P190" s="86" t="s"/>
      <c r="Q190" s="86" t="s"/>
      <c r="R190" s="86" t="s"/>
      <c r="S190" s="86" t="s"/>
      <c r="T190" s="86" t="s"/>
      <c r="U190" s="86" t="s"/>
      <c r="V190" s="86" t="s"/>
      <c r="W190" s="86" t="s"/>
      <c r="X190" s="86" t="s"/>
    </row>
    <row r="191" spans="1:24" ht="22.5" customHeight="1">
      <c r="A191" s="390" t="s"/>
      <c r="B191" s="391" t="s"/>
      <c r="C191" s="392" t="s"/>
      <c r="D191" s="393" t="s"/>
      <c r="E191" s="394">
        <f>C191*10000</f>
        <v>0</v>
      </c>
      <c r="F191" s="394">
        <f>E191+E191*D191*B191/360</f>
        <v>0</v>
      </c>
      <c r="G191" s="396">
        <f>F191-E191</f>
        <v>0</v>
      </c>
      <c r="H191" s="366" t="s"/>
      <c r="I191" s="405" t="s"/>
      <c r="J191" s="406" t="s"/>
      <c r="K191" s="399" t="s"/>
      <c r="L191" s="86" t="s"/>
      <c r="M191" s="86" t="s"/>
      <c r="N191" s="86" t="s"/>
      <c r="O191" s="86" t="s"/>
      <c r="P191" s="86" t="s"/>
      <c r="Q191" s="86" t="s"/>
      <c r="R191" s="86" t="s"/>
      <c r="S191" s="86" t="s"/>
      <c r="T191" s="86" t="s"/>
      <c r="U191" s="86" t="s"/>
      <c r="V191" s="86" t="s"/>
      <c r="W191" s="86" t="s"/>
      <c r="X191" s="86" t="s"/>
    </row>
    <row r="192" spans="1:24" ht="22.5" customHeight="1">
      <c r="A192" s="390" t="s"/>
      <c r="B192" s="391" t="s"/>
      <c r="C192" s="392" t="s"/>
      <c r="D192" s="393" t="s"/>
      <c r="E192" s="394">
        <f>C192*10000</f>
        <v>0</v>
      </c>
      <c r="F192" s="394">
        <f>E192+E192*D192*B192/360</f>
        <v>0</v>
      </c>
      <c r="G192" s="396">
        <f>F192-E192</f>
        <v>0</v>
      </c>
      <c r="H192" s="366" t="s"/>
      <c r="I192" s="405" t="s"/>
      <c r="J192" s="406" t="s"/>
      <c r="K192" s="399" t="s"/>
      <c r="L192" s="86" t="s"/>
      <c r="M192" s="86" t="s"/>
      <c r="N192" s="86" t="s"/>
      <c r="O192" s="86" t="s"/>
      <c r="P192" s="86" t="s"/>
      <c r="Q192" s="86" t="s"/>
      <c r="R192" s="86" t="s"/>
      <c r="S192" s="86" t="s"/>
      <c r="T192" s="86" t="s"/>
      <c r="U192" s="86" t="s"/>
      <c r="V192" s="86" t="s"/>
      <c r="W192" s="86" t="s"/>
      <c r="X192" s="86" t="s"/>
    </row>
    <row r="193" spans="1:24" ht="22.5" customHeight="1">
      <c r="A193" s="390" t="s"/>
      <c r="B193" s="391" t="s"/>
      <c r="C193" s="392" t="s"/>
      <c r="D193" s="393" t="s"/>
      <c r="E193" s="394">
        <f>C193*10000</f>
        <v>0</v>
      </c>
      <c r="F193" s="394">
        <f>E193+E193*D193*B193/360</f>
        <v>0</v>
      </c>
      <c r="G193" s="396">
        <f>F193-E193</f>
        <v>0</v>
      </c>
      <c r="H193" s="366" t="s"/>
      <c r="I193" s="405" t="s"/>
      <c r="J193" s="406" t="s"/>
      <c r="K193" s="399" t="s"/>
      <c r="L193" s="86" t="s"/>
      <c r="M193" s="86" t="s"/>
      <c r="N193" s="86" t="s"/>
      <c r="O193" s="86" t="s"/>
      <c r="P193" s="86" t="s"/>
      <c r="Q193" s="86" t="s"/>
      <c r="R193" s="86" t="s"/>
      <c r="S193" s="86" t="s"/>
      <c r="T193" s="86" t="s"/>
      <c r="U193" s="86" t="s"/>
      <c r="V193" s="86" t="s"/>
      <c r="W193" s="86" t="s"/>
      <c r="X193" s="86" t="s"/>
    </row>
    <row r="194" spans="1:24" ht="22.5" customHeight="1">
      <c r="A194" s="390" t="s"/>
      <c r="B194" s="391" t="s"/>
      <c r="C194" s="392" t="s"/>
      <c r="D194" s="393" t="s"/>
      <c r="E194" s="394">
        <f>C194*10000</f>
        <v>0</v>
      </c>
      <c r="F194" s="394">
        <f>E194+E194*D194*B194/360</f>
        <v>0</v>
      </c>
      <c r="G194" s="396">
        <f>F194-E194</f>
        <v>0</v>
      </c>
      <c r="H194" s="366" t="s"/>
      <c r="I194" s="405" t="s"/>
      <c r="J194" s="406" t="s"/>
      <c r="K194" s="399" t="s"/>
      <c r="L194" s="86" t="s"/>
      <c r="M194" s="86" t="s"/>
      <c r="N194" s="86" t="s"/>
      <c r="O194" s="86" t="s"/>
      <c r="P194" s="86" t="s"/>
      <c r="Q194" s="86" t="s"/>
      <c r="R194" s="86" t="s"/>
      <c r="S194" s="86" t="s"/>
      <c r="T194" s="86" t="s"/>
      <c r="U194" s="86" t="s"/>
      <c r="V194" s="86" t="s"/>
      <c r="W194" s="86" t="s"/>
      <c r="X194" s="86" t="s"/>
    </row>
    <row r="195" spans="1:24" ht="22.5" customHeight="1">
      <c r="A195" s="390" t="s"/>
      <c r="B195" s="391" t="s"/>
      <c r="C195" s="392" t="s"/>
      <c r="D195" s="393" t="s"/>
      <c r="E195" s="394">
        <f>C195*10000</f>
        <v>0</v>
      </c>
      <c r="F195" s="394">
        <f>E195+E195*D195*B195/360</f>
        <v>0</v>
      </c>
      <c r="G195" s="396">
        <f>F195-E195</f>
        <v>0</v>
      </c>
      <c r="H195" s="366" t="s"/>
      <c r="I195" s="405" t="s"/>
      <c r="J195" s="406" t="s"/>
      <c r="K195" s="399" t="s"/>
      <c r="L195" s="86" t="s"/>
      <c r="M195" s="86" t="s"/>
      <c r="N195" s="86" t="s"/>
      <c r="O195" s="86" t="s"/>
      <c r="P195" s="86" t="s"/>
      <c r="Q195" s="86" t="s"/>
      <c r="R195" s="86" t="s"/>
      <c r="S195" s="86" t="s"/>
      <c r="T195" s="86" t="s"/>
      <c r="U195" s="86" t="s"/>
      <c r="V195" s="86" t="s"/>
      <c r="W195" s="86" t="s"/>
      <c r="X195" s="86" t="s"/>
    </row>
    <row r="196" spans="1:24" ht="22.5" customHeight="1">
      <c r="A196" s="390" t="s"/>
      <c r="B196" s="391" t="s"/>
      <c r="C196" s="392" t="s"/>
      <c r="D196" s="393" t="s"/>
      <c r="E196" s="394">
        <f>C196*10000</f>
        <v>0</v>
      </c>
      <c r="F196" s="394">
        <f>E196+E196*D196*B196/360</f>
        <v>0</v>
      </c>
      <c r="G196" s="396">
        <f>F196-E196</f>
        <v>0</v>
      </c>
      <c r="H196" s="366" t="s"/>
      <c r="I196" s="405" t="s"/>
      <c r="J196" s="406" t="s"/>
      <c r="K196" s="399" t="s"/>
      <c r="L196" s="86" t="s"/>
      <c r="M196" s="86" t="s"/>
      <c r="N196" s="86" t="s"/>
      <c r="O196" s="86" t="s"/>
      <c r="P196" s="86" t="s"/>
      <c r="Q196" s="86" t="s"/>
      <c r="R196" s="86" t="s"/>
      <c r="S196" s="86" t="s"/>
      <c r="T196" s="86" t="s"/>
      <c r="U196" s="86" t="s"/>
      <c r="V196" s="86" t="s"/>
      <c r="W196" s="86" t="s"/>
      <c r="X196" s="86" t="s"/>
    </row>
    <row r="197" spans="1:24" ht="22.5" customHeight="1">
      <c r="A197" s="390" t="s"/>
      <c r="B197" s="391" t="s"/>
      <c r="C197" s="392" t="s"/>
      <c r="D197" s="393" t="s"/>
      <c r="E197" s="394">
        <f>C197*10000</f>
        <v>0</v>
      </c>
      <c r="F197" s="394">
        <f>E197+E197*D197*B197/360</f>
        <v>0</v>
      </c>
      <c r="G197" s="396">
        <f>F197-E197</f>
        <v>0</v>
      </c>
      <c r="H197" s="366" t="s"/>
      <c r="I197" s="405" t="s"/>
      <c r="J197" s="406" t="s"/>
      <c r="K197" s="399" t="s"/>
      <c r="L197" s="86" t="s"/>
      <c r="M197" s="86" t="s"/>
      <c r="N197" s="86" t="s"/>
      <c r="O197" s="86" t="s"/>
      <c r="P197" s="86" t="s"/>
      <c r="Q197" s="86" t="s"/>
      <c r="R197" s="86" t="s"/>
      <c r="S197" s="86" t="s"/>
      <c r="T197" s="86" t="s"/>
      <c r="U197" s="86" t="s"/>
      <c r="V197" s="86" t="s"/>
      <c r="W197" s="86" t="s"/>
      <c r="X197" s="86" t="s"/>
    </row>
    <row r="198" spans="1:24" ht="22.5" customHeight="1">
      <c r="A198" s="390" t="s"/>
      <c r="B198" s="391" t="s"/>
      <c r="C198" s="392" t="s"/>
      <c r="D198" s="393" t="s"/>
      <c r="E198" s="394">
        <f>C198*10000</f>
        <v>0</v>
      </c>
      <c r="F198" s="394">
        <f>E198+E198*D198*B198/360</f>
        <v>0</v>
      </c>
      <c r="G198" s="396">
        <f>F198-E198</f>
        <v>0</v>
      </c>
      <c r="H198" s="366" t="s"/>
      <c r="I198" s="405" t="s"/>
      <c r="J198" s="406" t="s"/>
      <c r="K198" s="399" t="s"/>
      <c r="L198" s="86" t="s"/>
      <c r="M198" s="86" t="s"/>
      <c r="N198" s="86" t="s"/>
      <c r="O198" s="86" t="s"/>
      <c r="P198" s="86" t="s"/>
      <c r="Q198" s="86" t="s"/>
      <c r="R198" s="86" t="s"/>
      <c r="S198" s="86" t="s"/>
      <c r="T198" s="86" t="s"/>
      <c r="U198" s="86" t="s"/>
      <c r="V198" s="86" t="s"/>
      <c r="W198" s="86" t="s"/>
      <c r="X198" s="86" t="s"/>
    </row>
    <row r="199" spans="1:24" ht="22.5" customHeight="1">
      <c r="A199" s="390" t="s"/>
      <c r="B199" s="391" t="s"/>
      <c r="C199" s="392" t="s"/>
      <c r="D199" s="393" t="s"/>
      <c r="E199" s="394">
        <f>C199*10000</f>
        <v>0</v>
      </c>
      <c r="F199" s="394">
        <f>E199+E199*D199*B199/360</f>
        <v>0</v>
      </c>
      <c r="G199" s="396">
        <f>F199-E199</f>
        <v>0</v>
      </c>
      <c r="H199" s="366" t="s"/>
      <c r="I199" s="405" t="s"/>
      <c r="J199" s="406" t="s"/>
      <c r="K199" s="399" t="s"/>
      <c r="L199" s="86" t="s"/>
      <c r="M199" s="86" t="s"/>
      <c r="N199" s="86" t="s"/>
      <c r="O199" s="86" t="s"/>
      <c r="P199" s="86" t="s"/>
      <c r="Q199" s="86" t="s"/>
      <c r="R199" s="86" t="s"/>
      <c r="S199" s="86" t="s"/>
      <c r="T199" s="86" t="s"/>
      <c r="U199" s="86" t="s"/>
      <c r="V199" s="86" t="s"/>
      <c r="W199" s="86" t="s"/>
      <c r="X199" s="86" t="s"/>
    </row>
    <row r="200" spans="1:24" ht="22.5" customHeight="1">
      <c r="A200" s="390" t="s"/>
      <c r="B200" s="391" t="s"/>
      <c r="C200" s="392" t="s"/>
      <c r="D200" s="393" t="s"/>
      <c r="E200" s="394">
        <f>C200*10000</f>
        <v>0</v>
      </c>
      <c r="F200" s="394">
        <f>E200+E200*D200*B200/360</f>
        <v>0</v>
      </c>
      <c r="G200" s="396">
        <f>F200-E200</f>
        <v>0</v>
      </c>
      <c r="H200" s="366" t="s"/>
      <c r="I200" s="405" t="s"/>
      <c r="J200" s="406" t="s"/>
      <c r="K200" s="399" t="s"/>
      <c r="L200" s="86" t="s"/>
      <c r="M200" s="86" t="s"/>
      <c r="N200" s="86" t="s"/>
      <c r="O200" s="86" t="s"/>
      <c r="P200" s="86" t="s"/>
      <c r="Q200" s="86" t="s"/>
      <c r="R200" s="86" t="s"/>
      <c r="S200" s="86" t="s"/>
      <c r="T200" s="86" t="s"/>
      <c r="U200" s="86" t="s"/>
      <c r="V200" s="86" t="s"/>
      <c r="W200" s="86" t="s"/>
      <c r="X200" s="86" t="s"/>
    </row>
    <row r="201" spans="1:24" ht="22.5" customHeight="1">
      <c r="A201" s="390" t="s"/>
      <c r="B201" s="391" t="s"/>
      <c r="C201" s="392" t="s"/>
      <c r="D201" s="393" t="s"/>
      <c r="E201" s="394">
        <f>C201*10000</f>
        <v>0</v>
      </c>
      <c r="F201" s="394">
        <f>E201+E201*D201*B201/360</f>
        <v>0</v>
      </c>
      <c r="G201" s="396">
        <f>F201-E201</f>
        <v>0</v>
      </c>
      <c r="H201" s="366" t="s"/>
      <c r="I201" s="405" t="s"/>
      <c r="J201" s="406" t="s"/>
      <c r="K201" s="399" t="s"/>
      <c r="L201" s="86" t="s"/>
      <c r="M201" s="86" t="s"/>
      <c r="N201" s="86" t="s"/>
      <c r="O201" s="86" t="s"/>
      <c r="P201" s="86" t="s"/>
      <c r="Q201" s="86" t="s"/>
      <c r="R201" s="86" t="s"/>
      <c r="S201" s="86" t="s"/>
      <c r="T201" s="86" t="s"/>
      <c r="U201" s="86" t="s"/>
      <c r="V201" s="86" t="s"/>
      <c r="W201" s="86" t="s"/>
      <c r="X201" s="86" t="s"/>
    </row>
    <row r="202" spans="1:24" ht="22.5" customHeight="1">
      <c r="A202" s="390" t="s"/>
      <c r="B202" s="391" t="s"/>
      <c r="C202" s="392" t="s"/>
      <c r="D202" s="393" t="s"/>
      <c r="E202" s="394">
        <f>C202*10000</f>
        <v>0</v>
      </c>
      <c r="F202" s="394">
        <f>E202+E202*D202*B202/360</f>
        <v>0</v>
      </c>
      <c r="G202" s="396">
        <f>F202-E202</f>
        <v>0</v>
      </c>
      <c r="H202" s="366" t="s"/>
      <c r="I202" s="405" t="s"/>
      <c r="J202" s="406" t="s"/>
      <c r="K202" s="399" t="s"/>
      <c r="L202" s="86" t="s"/>
      <c r="M202" s="86" t="s"/>
      <c r="N202" s="86" t="s"/>
      <c r="O202" s="86" t="s"/>
      <c r="P202" s="86" t="s"/>
      <c r="Q202" s="86" t="s"/>
      <c r="R202" s="86" t="s"/>
      <c r="S202" s="86" t="s"/>
      <c r="T202" s="86" t="s"/>
      <c r="U202" s="86" t="s"/>
      <c r="V202" s="86" t="s"/>
      <c r="W202" s="86" t="s"/>
      <c r="X202" s="86" t="s"/>
    </row>
    <row r="203" spans="1:24" ht="22.5" customHeight="1">
      <c r="A203" s="390" t="s"/>
      <c r="B203" s="391" t="s"/>
      <c r="C203" s="392" t="s"/>
      <c r="D203" s="393" t="s"/>
      <c r="E203" s="394">
        <f>C203*10000</f>
        <v>0</v>
      </c>
      <c r="F203" s="394">
        <f>E203+E203*D203*B203/360</f>
        <v>0</v>
      </c>
      <c r="G203" s="396">
        <f>F203-E203</f>
        <v>0</v>
      </c>
      <c r="H203" s="366" t="s"/>
      <c r="I203" s="405" t="s"/>
      <c r="J203" s="406" t="s"/>
      <c r="K203" s="399" t="s"/>
      <c r="L203" s="86" t="s"/>
      <c r="M203" s="86" t="s"/>
      <c r="N203" s="86" t="s"/>
      <c r="O203" s="86" t="s"/>
      <c r="P203" s="86" t="s"/>
      <c r="Q203" s="86" t="s"/>
      <c r="R203" s="86" t="s"/>
      <c r="S203" s="86" t="s"/>
      <c r="T203" s="86" t="s"/>
      <c r="U203" s="86" t="s"/>
      <c r="V203" s="86" t="s"/>
      <c r="W203" s="86" t="s"/>
      <c r="X203" s="86" t="s"/>
    </row>
    <row r="204" spans="1:24" ht="22.5" customHeight="1">
      <c r="A204" s="390" t="s"/>
      <c r="B204" s="391" t="s"/>
      <c r="C204" s="392" t="s"/>
      <c r="D204" s="393" t="s"/>
      <c r="E204" s="394">
        <f>C204*10000</f>
        <v>0</v>
      </c>
      <c r="F204" s="394">
        <f>E204+E204*D204*B204/360</f>
        <v>0</v>
      </c>
      <c r="G204" s="396">
        <f>F204-E204</f>
        <v>0</v>
      </c>
      <c r="H204" s="366" t="s"/>
      <c r="I204" s="405" t="s"/>
      <c r="J204" s="406" t="s"/>
      <c r="K204" s="399" t="s"/>
      <c r="L204" s="86" t="s"/>
      <c r="M204" s="86" t="s"/>
      <c r="N204" s="86" t="s"/>
      <c r="O204" s="86" t="s"/>
      <c r="P204" s="86" t="s"/>
      <c r="Q204" s="86" t="s"/>
      <c r="R204" s="86" t="s"/>
      <c r="S204" s="86" t="s"/>
      <c r="T204" s="86" t="s"/>
      <c r="U204" s="86" t="s"/>
      <c r="V204" s="86" t="s"/>
      <c r="W204" s="86" t="s"/>
      <c r="X204" s="86" t="s"/>
    </row>
    <row r="205" spans="1:24" ht="22.5" customHeight="1">
      <c r="A205" s="390" t="s"/>
      <c r="B205" s="391" t="s"/>
      <c r="C205" s="392" t="s"/>
      <c r="D205" s="393" t="s"/>
      <c r="E205" s="394">
        <f>C205*10000</f>
        <v>0</v>
      </c>
      <c r="F205" s="394">
        <f>E205+E205*D205*B205/360</f>
        <v>0</v>
      </c>
      <c r="G205" s="396">
        <f>F205-E205</f>
        <v>0</v>
      </c>
      <c r="H205" s="366" t="s"/>
      <c r="I205" s="405" t="s"/>
      <c r="J205" s="406" t="s"/>
      <c r="K205" s="399" t="s"/>
      <c r="L205" s="86" t="s"/>
      <c r="M205" s="86" t="s"/>
      <c r="N205" s="86" t="s"/>
      <c r="O205" s="86" t="s"/>
      <c r="P205" s="86" t="s"/>
      <c r="Q205" s="86" t="s"/>
      <c r="R205" s="86" t="s"/>
      <c r="S205" s="86" t="s"/>
      <c r="T205" s="86" t="s"/>
      <c r="U205" s="86" t="s"/>
      <c r="V205" s="86" t="s"/>
      <c r="W205" s="86" t="s"/>
      <c r="X205" s="86" t="s"/>
    </row>
    <row r="206" spans="1:24" ht="22.5" customHeight="1">
      <c r="A206" s="390" t="s"/>
      <c r="B206" s="391" t="s"/>
      <c r="C206" s="392" t="s"/>
      <c r="D206" s="393" t="s"/>
      <c r="E206" s="394">
        <f>C206*10000</f>
        <v>0</v>
      </c>
      <c r="F206" s="394">
        <f>E206+E206*D206*B206/360</f>
        <v>0</v>
      </c>
      <c r="G206" s="396">
        <f>F206-E206</f>
        <v>0</v>
      </c>
      <c r="H206" s="366" t="s"/>
      <c r="I206" s="405" t="s"/>
      <c r="J206" s="406" t="s"/>
      <c r="K206" s="399" t="s"/>
      <c r="L206" s="86" t="s"/>
      <c r="M206" s="86" t="s"/>
      <c r="N206" s="86" t="s"/>
      <c r="O206" s="86" t="s"/>
      <c r="P206" s="86" t="s"/>
      <c r="Q206" s="86" t="s"/>
      <c r="R206" s="86" t="s"/>
      <c r="S206" s="86" t="s"/>
      <c r="T206" s="86" t="s"/>
      <c r="U206" s="86" t="s"/>
      <c r="V206" s="86" t="s"/>
      <c r="W206" s="86" t="s"/>
      <c r="X206" s="86" t="s"/>
    </row>
    <row r="207" spans="1:24" ht="22.5" customHeight="1">
      <c r="A207" s="390" t="s"/>
      <c r="B207" s="391" t="s"/>
      <c r="C207" s="392" t="s"/>
      <c r="D207" s="393" t="s"/>
      <c r="E207" s="394">
        <f>C207*10000</f>
        <v>0</v>
      </c>
      <c r="F207" s="394">
        <f>E207+E207*D207*B207/360</f>
        <v>0</v>
      </c>
      <c r="G207" s="396">
        <f>F207-E207</f>
        <v>0</v>
      </c>
      <c r="H207" s="366" t="s"/>
      <c r="I207" s="405" t="s"/>
      <c r="J207" s="406" t="s"/>
      <c r="K207" s="399" t="s"/>
      <c r="L207" s="86" t="s"/>
      <c r="M207" s="86" t="s"/>
      <c r="N207" s="86" t="s"/>
      <c r="O207" s="86" t="s"/>
      <c r="P207" s="86" t="s"/>
      <c r="Q207" s="86" t="s"/>
      <c r="R207" s="86" t="s"/>
      <c r="S207" s="86" t="s"/>
      <c r="T207" s="86" t="s"/>
      <c r="U207" s="86" t="s"/>
      <c r="V207" s="86" t="s"/>
      <c r="W207" s="86" t="s"/>
      <c r="X207" s="86" t="s"/>
    </row>
    <row r="208" spans="1:24" ht="22.5" customHeight="1">
      <c r="A208" s="390" t="s"/>
      <c r="B208" s="391" t="s"/>
      <c r="C208" s="392" t="s"/>
      <c r="D208" s="393" t="s"/>
      <c r="E208" s="394">
        <f>C208*10000</f>
        <v>0</v>
      </c>
      <c r="F208" s="394">
        <f>E208+E208*D208*B208/360</f>
        <v>0</v>
      </c>
      <c r="G208" s="396">
        <f>F208-E208</f>
        <v>0</v>
      </c>
      <c r="H208" s="366" t="s"/>
      <c r="I208" s="405" t="s"/>
      <c r="J208" s="406" t="s"/>
      <c r="K208" s="399" t="s"/>
      <c r="L208" s="86" t="s"/>
      <c r="M208" s="86" t="s"/>
      <c r="N208" s="86" t="s"/>
      <c r="O208" s="86" t="s"/>
      <c r="P208" s="86" t="s"/>
      <c r="Q208" s="86" t="s"/>
      <c r="R208" s="86" t="s"/>
      <c r="S208" s="86" t="s"/>
      <c r="T208" s="86" t="s"/>
      <c r="U208" s="86" t="s"/>
      <c r="V208" s="86" t="s"/>
      <c r="W208" s="86" t="s"/>
      <c r="X208" s="86" t="s"/>
    </row>
    <row r="209" spans="1:24" ht="22.5" customHeight="1">
      <c r="A209" s="390" t="s"/>
      <c r="B209" s="391" t="s"/>
      <c r="C209" s="392" t="s"/>
      <c r="D209" s="393" t="s"/>
      <c r="E209" s="394">
        <f>C209*10000</f>
        <v>0</v>
      </c>
      <c r="F209" s="394">
        <f>E209+E209*D209*B209/360</f>
        <v>0</v>
      </c>
      <c r="G209" s="396">
        <f>F209-E209</f>
        <v>0</v>
      </c>
      <c r="H209" s="366" t="s"/>
      <c r="I209" s="405" t="s"/>
      <c r="J209" s="406" t="s"/>
      <c r="K209" s="399" t="s"/>
      <c r="L209" s="86" t="s"/>
      <c r="M209" s="86" t="s"/>
      <c r="N209" s="86" t="s"/>
      <c r="O209" s="86" t="s"/>
      <c r="P209" s="86" t="s"/>
      <c r="Q209" s="86" t="s"/>
      <c r="R209" s="86" t="s"/>
      <c r="S209" s="86" t="s"/>
      <c r="T209" s="86" t="s"/>
      <c r="U209" s="86" t="s"/>
      <c r="V209" s="86" t="s"/>
      <c r="W209" s="86" t="s"/>
      <c r="X209" s="86" t="s"/>
    </row>
    <row r="210" spans="1:24" ht="22.5" customHeight="1">
      <c r="A210" s="390" t="s"/>
      <c r="B210" s="391" t="s"/>
      <c r="C210" s="392" t="s"/>
      <c r="D210" s="393" t="s"/>
      <c r="E210" s="394">
        <f>C210*10000</f>
        <v>0</v>
      </c>
      <c r="F210" s="394">
        <f>E210+E210*D210*B210/360</f>
        <v>0</v>
      </c>
      <c r="G210" s="396">
        <f>F210-E210</f>
        <v>0</v>
      </c>
      <c r="H210" s="366" t="s"/>
      <c r="I210" s="405" t="s"/>
      <c r="J210" s="406" t="s"/>
      <c r="K210" s="399" t="s"/>
      <c r="L210" s="86" t="s"/>
      <c r="M210" s="86" t="s"/>
      <c r="N210" s="86" t="s"/>
      <c r="O210" s="86" t="s"/>
      <c r="P210" s="86" t="s"/>
      <c r="Q210" s="86" t="s"/>
      <c r="R210" s="86" t="s"/>
      <c r="S210" s="86" t="s"/>
      <c r="T210" s="86" t="s"/>
      <c r="U210" s="86" t="s"/>
      <c r="V210" s="86" t="s"/>
      <c r="W210" s="86" t="s"/>
      <c r="X210" s="86" t="s"/>
    </row>
    <row r="211" spans="1:24" ht="22.5" customHeight="1">
      <c r="A211" s="390" t="s"/>
      <c r="B211" s="391" t="s"/>
      <c r="C211" s="392" t="s"/>
      <c r="D211" s="393" t="s"/>
      <c r="E211" s="394">
        <f>C211*10000</f>
        <v>0</v>
      </c>
      <c r="F211" s="394">
        <f>E211+E211*D211*B211/360</f>
        <v>0</v>
      </c>
      <c r="G211" s="396">
        <f>F211-E211</f>
        <v>0</v>
      </c>
      <c r="H211" s="366" t="s"/>
      <c r="I211" s="405" t="s"/>
      <c r="J211" s="406" t="s"/>
      <c r="K211" s="399" t="s"/>
      <c r="L211" s="86" t="s"/>
      <c r="M211" s="86" t="s"/>
      <c r="N211" s="86" t="s"/>
      <c r="O211" s="86" t="s"/>
      <c r="P211" s="86" t="s"/>
      <c r="Q211" s="86" t="s"/>
      <c r="R211" s="86" t="s"/>
      <c r="S211" s="86" t="s"/>
      <c r="T211" s="86" t="s"/>
      <c r="U211" s="86" t="s"/>
      <c r="V211" s="86" t="s"/>
      <c r="W211" s="86" t="s"/>
      <c r="X211" s="86" t="s"/>
    </row>
    <row r="212" spans="1:24" ht="22.5" customHeight="1">
      <c r="A212" s="390" t="s"/>
      <c r="B212" s="391" t="s"/>
      <c r="C212" s="392" t="s"/>
      <c r="D212" s="393" t="s"/>
      <c r="E212" s="394">
        <f>C212*10000</f>
        <v>0</v>
      </c>
      <c r="F212" s="394">
        <f>E212+E212*D212*B212/360</f>
        <v>0</v>
      </c>
      <c r="G212" s="396">
        <f>F212-E212</f>
        <v>0</v>
      </c>
      <c r="H212" s="366" t="s"/>
      <c r="I212" s="405" t="s"/>
      <c r="J212" s="406" t="s"/>
      <c r="K212" s="399" t="s"/>
      <c r="L212" s="86" t="s"/>
      <c r="M212" s="86" t="s"/>
      <c r="N212" s="86" t="s"/>
      <c r="O212" s="86" t="s"/>
      <c r="P212" s="86" t="s"/>
      <c r="Q212" s="86" t="s"/>
      <c r="R212" s="86" t="s"/>
      <c r="S212" s="86" t="s"/>
      <c r="T212" s="86" t="s"/>
      <c r="U212" s="86" t="s"/>
      <c r="V212" s="86" t="s"/>
      <c r="W212" s="86" t="s"/>
      <c r="X212" s="86" t="s"/>
    </row>
    <row r="213" spans="1:24" ht="22.5" customHeight="1">
      <c r="A213" s="390" t="s"/>
      <c r="B213" s="391" t="s"/>
      <c r="C213" s="392" t="s"/>
      <c r="D213" s="393" t="s"/>
      <c r="E213" s="394">
        <f>C213*10000</f>
        <v>0</v>
      </c>
      <c r="F213" s="394">
        <f>E213+E213*D213*B213/360</f>
        <v>0</v>
      </c>
      <c r="G213" s="396">
        <f>F213-E213</f>
        <v>0</v>
      </c>
      <c r="H213" s="366" t="s"/>
      <c r="I213" s="405" t="s"/>
      <c r="J213" s="406" t="s"/>
      <c r="K213" s="399" t="s"/>
      <c r="L213" s="86" t="s"/>
      <c r="M213" s="86" t="s"/>
      <c r="N213" s="86" t="s"/>
      <c r="O213" s="86" t="s"/>
      <c r="P213" s="86" t="s"/>
      <c r="Q213" s="86" t="s"/>
      <c r="R213" s="86" t="s"/>
      <c r="S213" s="86" t="s"/>
      <c r="T213" s="86" t="s"/>
      <c r="U213" s="86" t="s"/>
      <c r="V213" s="86" t="s"/>
      <c r="W213" s="86" t="s"/>
      <c r="X213" s="86" t="s"/>
    </row>
    <row r="214" spans="1:24" ht="22.5" customHeight="1">
      <c r="A214" s="390" t="s"/>
      <c r="B214" s="391" t="s"/>
      <c r="C214" s="392" t="s"/>
      <c r="D214" s="393" t="s"/>
      <c r="E214" s="394">
        <f>C214*10000</f>
        <v>0</v>
      </c>
      <c r="F214" s="394">
        <f>E214+E214*D214*B214/360</f>
        <v>0</v>
      </c>
      <c r="G214" s="396">
        <f>F214-E214</f>
        <v>0</v>
      </c>
      <c r="H214" s="366" t="s"/>
      <c r="I214" s="405" t="s"/>
      <c r="J214" s="406" t="s"/>
      <c r="K214" s="399" t="s"/>
      <c r="L214" s="86" t="s"/>
      <c r="M214" s="86" t="s"/>
      <c r="N214" s="86" t="s"/>
      <c r="O214" s="86" t="s"/>
      <c r="P214" s="86" t="s"/>
      <c r="Q214" s="86" t="s"/>
      <c r="R214" s="86" t="s"/>
      <c r="S214" s="86" t="s"/>
      <c r="T214" s="86" t="s"/>
      <c r="U214" s="86" t="s"/>
      <c r="V214" s="86" t="s"/>
      <c r="W214" s="86" t="s"/>
      <c r="X214" s="86" t="s"/>
    </row>
    <row r="215" spans="1:24" ht="22.5" customHeight="1">
      <c r="A215" s="390" t="s"/>
      <c r="B215" s="391" t="s"/>
      <c r="C215" s="392" t="s"/>
      <c r="D215" s="393" t="s"/>
      <c r="E215" s="394">
        <f>C215*10000</f>
        <v>0</v>
      </c>
      <c r="F215" s="394">
        <f>E215+E215*D215*B215/360</f>
        <v>0</v>
      </c>
      <c r="G215" s="396">
        <f>F215-E215</f>
        <v>0</v>
      </c>
      <c r="H215" s="366" t="s"/>
      <c r="I215" s="405" t="s"/>
      <c r="J215" s="406" t="s"/>
      <c r="K215" s="399" t="s"/>
      <c r="L215" s="86" t="s"/>
      <c r="M215" s="86" t="s"/>
      <c r="N215" s="86" t="s"/>
      <c r="O215" s="86" t="s"/>
      <c r="P215" s="86" t="s"/>
      <c r="Q215" s="86" t="s"/>
      <c r="R215" s="86" t="s"/>
      <c r="S215" s="86" t="s"/>
      <c r="T215" s="86" t="s"/>
      <c r="U215" s="86" t="s"/>
      <c r="V215" s="86" t="s"/>
      <c r="W215" s="86" t="s"/>
      <c r="X215" s="86" t="s"/>
    </row>
    <row r="216" spans="1:24" ht="22.5" customHeight="1">
      <c r="A216" s="390" t="s"/>
      <c r="B216" s="391" t="s"/>
      <c r="C216" s="392" t="s"/>
      <c r="D216" s="393" t="s"/>
      <c r="E216" s="394">
        <f>C216*10000</f>
        <v>0</v>
      </c>
      <c r="F216" s="394">
        <f>E216+E216*D216*B216/360</f>
        <v>0</v>
      </c>
      <c r="G216" s="396">
        <f>F216-E216</f>
        <v>0</v>
      </c>
      <c r="H216" s="366" t="s"/>
      <c r="I216" s="405" t="s"/>
      <c r="J216" s="406" t="s"/>
      <c r="K216" s="399" t="s"/>
      <c r="L216" s="86" t="s"/>
      <c r="M216" s="86" t="s"/>
      <c r="N216" s="86" t="s"/>
      <c r="O216" s="86" t="s"/>
      <c r="P216" s="86" t="s"/>
      <c r="Q216" s="86" t="s"/>
      <c r="R216" s="86" t="s"/>
      <c r="S216" s="86" t="s"/>
      <c r="T216" s="86" t="s"/>
      <c r="U216" s="86" t="s"/>
      <c r="V216" s="86" t="s"/>
      <c r="W216" s="86" t="s"/>
      <c r="X216" s="86" t="s"/>
    </row>
    <row r="217" spans="1:24" ht="22.5" customHeight="1">
      <c r="A217" s="390" t="s"/>
      <c r="B217" s="391" t="s"/>
      <c r="C217" s="392" t="s"/>
      <c r="D217" s="393" t="s"/>
      <c r="E217" s="394">
        <f>C217*10000</f>
        <v>0</v>
      </c>
      <c r="F217" s="394">
        <f>E217+E217*D217*B217/360</f>
        <v>0</v>
      </c>
      <c r="G217" s="396">
        <f>F217-E217</f>
        <v>0</v>
      </c>
      <c r="H217" s="366" t="s"/>
      <c r="I217" s="405" t="s"/>
      <c r="J217" s="406" t="s"/>
      <c r="K217" s="399" t="s"/>
      <c r="L217" s="86" t="s"/>
      <c r="M217" s="86" t="s"/>
      <c r="N217" s="86" t="s"/>
      <c r="O217" s="86" t="s"/>
      <c r="P217" s="86" t="s"/>
      <c r="Q217" s="86" t="s"/>
      <c r="R217" s="86" t="s"/>
      <c r="S217" s="86" t="s"/>
      <c r="T217" s="86" t="s"/>
      <c r="U217" s="86" t="s"/>
      <c r="V217" s="86" t="s"/>
      <c r="W217" s="86" t="s"/>
      <c r="X217" s="86" t="s"/>
    </row>
    <row r="218" spans="1:24" ht="22.5" customHeight="1">
      <c r="A218" s="390" t="s"/>
      <c r="B218" s="391" t="s"/>
      <c r="C218" s="392" t="s"/>
      <c r="D218" s="393" t="s"/>
      <c r="E218" s="394">
        <f>C218*10000</f>
        <v>0</v>
      </c>
      <c r="F218" s="394">
        <f>E218+E218*D218*B218/360</f>
        <v>0</v>
      </c>
      <c r="G218" s="396">
        <f>F218-E218</f>
        <v>0</v>
      </c>
      <c r="H218" s="366" t="s"/>
      <c r="I218" s="405" t="s"/>
      <c r="J218" s="406" t="s"/>
      <c r="K218" s="399" t="s"/>
      <c r="L218" s="86" t="s"/>
      <c r="M218" s="86" t="s"/>
      <c r="N218" s="86" t="s"/>
      <c r="O218" s="86" t="s"/>
      <c r="P218" s="86" t="s"/>
      <c r="Q218" s="86" t="s"/>
      <c r="R218" s="86" t="s"/>
      <c r="S218" s="86" t="s"/>
      <c r="T218" s="86" t="s"/>
      <c r="U218" s="86" t="s"/>
      <c r="V218" s="86" t="s"/>
      <c r="W218" s="86" t="s"/>
      <c r="X218" s="86" t="s"/>
    </row>
    <row r="219" spans="1:24" ht="22.5" customHeight="1">
      <c r="A219" s="390" t="s"/>
      <c r="B219" s="391" t="s"/>
      <c r="C219" s="392" t="s"/>
      <c r="D219" s="393" t="s"/>
      <c r="E219" s="394">
        <f>C219*10000</f>
        <v>0</v>
      </c>
      <c r="F219" s="394">
        <f>E219+E219*D219*B219/360</f>
        <v>0</v>
      </c>
      <c r="G219" s="396">
        <f>F219-E219</f>
        <v>0</v>
      </c>
      <c r="H219" s="366" t="s"/>
      <c r="I219" s="405" t="s"/>
      <c r="J219" s="406" t="s"/>
      <c r="K219" s="399" t="s"/>
      <c r="L219" s="86" t="s"/>
      <c r="M219" s="86" t="s"/>
      <c r="N219" s="86" t="s"/>
      <c r="O219" s="86" t="s"/>
      <c r="P219" s="86" t="s"/>
      <c r="Q219" s="86" t="s"/>
      <c r="R219" s="86" t="s"/>
      <c r="S219" s="86" t="s"/>
      <c r="T219" s="86" t="s"/>
      <c r="U219" s="86" t="s"/>
      <c r="V219" s="86" t="s"/>
      <c r="W219" s="86" t="s"/>
      <c r="X219" s="86" t="s"/>
    </row>
    <row r="220" spans="1:24" ht="22.5" customHeight="1">
      <c r="A220" s="390" t="s"/>
      <c r="B220" s="391" t="s"/>
      <c r="C220" s="392" t="s"/>
      <c r="D220" s="393" t="s"/>
      <c r="E220" s="394">
        <f>C220*10000</f>
        <v>0</v>
      </c>
      <c r="F220" s="394">
        <f>E220+E220*D220*B220/360</f>
        <v>0</v>
      </c>
      <c r="G220" s="396">
        <f>F220-E220</f>
        <v>0</v>
      </c>
      <c r="H220" s="366" t="s"/>
      <c r="I220" s="405" t="s"/>
      <c r="J220" s="406" t="s"/>
      <c r="K220" s="399" t="s"/>
      <c r="L220" s="86" t="s"/>
      <c r="M220" s="86" t="s"/>
      <c r="N220" s="86" t="s"/>
      <c r="O220" s="86" t="s"/>
      <c r="P220" s="86" t="s"/>
      <c r="Q220" s="86" t="s"/>
      <c r="R220" s="86" t="s"/>
      <c r="S220" s="86" t="s"/>
      <c r="T220" s="86" t="s"/>
      <c r="U220" s="86" t="s"/>
      <c r="V220" s="86" t="s"/>
      <c r="W220" s="86" t="s"/>
      <c r="X220" s="86" t="s"/>
    </row>
    <row r="221" spans="1:24" ht="22.5" customHeight="1">
      <c r="A221" s="390" t="s"/>
      <c r="B221" s="391" t="s"/>
      <c r="C221" s="392" t="s"/>
      <c r="D221" s="393" t="s"/>
      <c r="E221" s="394">
        <f>C221*10000</f>
        <v>0</v>
      </c>
      <c r="F221" s="394">
        <f>E221+E221*D221*B221/360</f>
        <v>0</v>
      </c>
      <c r="G221" s="396">
        <f>F221-E221</f>
        <v>0</v>
      </c>
      <c r="H221" s="366" t="s"/>
      <c r="I221" s="405" t="s"/>
      <c r="J221" s="406" t="s"/>
      <c r="K221" s="399" t="s"/>
      <c r="L221" s="86" t="s"/>
      <c r="M221" s="86" t="s"/>
      <c r="N221" s="86" t="s"/>
      <c r="O221" s="86" t="s"/>
      <c r="P221" s="86" t="s"/>
      <c r="Q221" s="86" t="s"/>
      <c r="R221" s="86" t="s"/>
      <c r="S221" s="86" t="s"/>
      <c r="T221" s="86" t="s"/>
      <c r="U221" s="86" t="s"/>
      <c r="V221" s="86" t="s"/>
      <c r="W221" s="86" t="s"/>
      <c r="X221" s="86" t="s"/>
    </row>
    <row r="222" spans="1:24" ht="22.5" customHeight="1">
      <c r="A222" s="390" t="s"/>
      <c r="B222" s="391" t="s"/>
      <c r="C222" s="392" t="s"/>
      <c r="D222" s="393" t="s"/>
      <c r="E222" s="394">
        <f>C222*10000</f>
        <v>0</v>
      </c>
      <c r="F222" s="394">
        <f>E222+E222*D222*B222/360</f>
        <v>0</v>
      </c>
      <c r="G222" s="396">
        <f>F222-E222</f>
        <v>0</v>
      </c>
      <c r="H222" s="366" t="s"/>
      <c r="I222" s="405" t="s"/>
      <c r="J222" s="406" t="s"/>
      <c r="K222" s="399" t="s"/>
      <c r="L222" s="86" t="s"/>
      <c r="M222" s="86" t="s"/>
      <c r="N222" s="86" t="s"/>
      <c r="O222" s="86" t="s"/>
      <c r="P222" s="86" t="s"/>
      <c r="Q222" s="86" t="s"/>
      <c r="R222" s="86" t="s"/>
      <c r="S222" s="86" t="s"/>
      <c r="T222" s="86" t="s"/>
      <c r="U222" s="86" t="s"/>
      <c r="V222" s="86" t="s"/>
      <c r="W222" s="86" t="s"/>
      <c r="X222" s="86" t="s"/>
    </row>
    <row r="223" spans="1:24" ht="22.5" customHeight="1">
      <c r="A223" s="390" t="s"/>
      <c r="B223" s="391" t="s"/>
      <c r="C223" s="392" t="s"/>
      <c r="D223" s="393" t="s"/>
      <c r="E223" s="394">
        <f>C223*10000</f>
        <v>0</v>
      </c>
      <c r="F223" s="394">
        <f>E223+E223*D223*B223/360</f>
        <v>0</v>
      </c>
      <c r="G223" s="396">
        <f>F223-E223</f>
        <v>0</v>
      </c>
      <c r="H223" s="366" t="s"/>
      <c r="I223" s="405" t="s"/>
      <c r="J223" s="406" t="s"/>
      <c r="K223" s="399" t="s"/>
      <c r="L223" s="86" t="s"/>
      <c r="M223" s="86" t="s"/>
      <c r="N223" s="86" t="s"/>
      <c r="O223" s="86" t="s"/>
      <c r="P223" s="86" t="s"/>
      <c r="Q223" s="86" t="s"/>
      <c r="R223" s="86" t="s"/>
      <c r="S223" s="86" t="s"/>
      <c r="T223" s="86" t="s"/>
      <c r="U223" s="86" t="s"/>
      <c r="V223" s="86" t="s"/>
      <c r="W223" s="86" t="s"/>
      <c r="X223" s="86" t="s"/>
    </row>
    <row r="224" spans="1:24" ht="22.5" customHeight="1">
      <c r="A224" s="390" t="s"/>
      <c r="B224" s="391" t="s"/>
      <c r="C224" s="392" t="s"/>
      <c r="D224" s="393" t="s"/>
      <c r="E224" s="394">
        <f>C224*10000</f>
        <v>0</v>
      </c>
      <c r="F224" s="394">
        <f>E224+E224*D224*B224/360</f>
        <v>0</v>
      </c>
      <c r="G224" s="396">
        <f>F224-E224</f>
        <v>0</v>
      </c>
      <c r="H224" s="366" t="s"/>
      <c r="I224" s="405" t="s"/>
      <c r="J224" s="406" t="s"/>
      <c r="K224" s="399" t="s"/>
      <c r="L224" s="86" t="s"/>
      <c r="M224" s="86" t="s"/>
      <c r="N224" s="86" t="s"/>
      <c r="O224" s="86" t="s"/>
      <c r="P224" s="86" t="s"/>
      <c r="Q224" s="86" t="s"/>
      <c r="R224" s="86" t="s"/>
      <c r="S224" s="86" t="s"/>
      <c r="T224" s="86" t="s"/>
      <c r="U224" s="86" t="s"/>
      <c r="V224" s="86" t="s"/>
      <c r="W224" s="86" t="s"/>
      <c r="X224" s="86" t="s"/>
    </row>
    <row r="225" spans="1:24" ht="22.5" customHeight="1">
      <c r="A225" s="390" t="s"/>
      <c r="B225" s="391" t="s"/>
      <c r="C225" s="392" t="s"/>
      <c r="D225" s="393" t="s"/>
      <c r="E225" s="394">
        <f>C225*10000</f>
        <v>0</v>
      </c>
      <c r="F225" s="394">
        <f>E225+E225*D225*B225/360</f>
        <v>0</v>
      </c>
      <c r="G225" s="396">
        <f>F225-E225</f>
        <v>0</v>
      </c>
      <c r="H225" s="366" t="s"/>
      <c r="I225" s="405" t="s"/>
      <c r="J225" s="406" t="s"/>
      <c r="K225" s="399" t="s"/>
      <c r="L225" s="86" t="s"/>
      <c r="M225" s="86" t="s"/>
      <c r="N225" s="86" t="s"/>
      <c r="O225" s="86" t="s"/>
      <c r="P225" s="86" t="s"/>
      <c r="Q225" s="86" t="s"/>
      <c r="R225" s="86" t="s"/>
      <c r="S225" s="86" t="s"/>
      <c r="T225" s="86" t="s"/>
      <c r="U225" s="86" t="s"/>
      <c r="V225" s="86" t="s"/>
      <c r="W225" s="86" t="s"/>
      <c r="X225" s="86" t="s"/>
    </row>
    <row r="226" spans="1:24" ht="22.5" customHeight="1">
      <c r="A226" s="390" t="s"/>
      <c r="B226" s="391" t="s"/>
      <c r="C226" s="392" t="s"/>
      <c r="D226" s="393" t="s"/>
      <c r="E226" s="394">
        <f>C226*10000</f>
        <v>0</v>
      </c>
      <c r="F226" s="394">
        <f>E226+E226*D226*B226/360</f>
        <v>0</v>
      </c>
      <c r="G226" s="396">
        <f>F226-E226</f>
        <v>0</v>
      </c>
      <c r="H226" s="366" t="s"/>
      <c r="I226" s="405" t="s"/>
      <c r="J226" s="406" t="s"/>
      <c r="K226" s="399" t="s"/>
      <c r="L226" s="86" t="s"/>
      <c r="M226" s="86" t="s"/>
      <c r="N226" s="86" t="s"/>
      <c r="O226" s="86" t="s"/>
      <c r="P226" s="86" t="s"/>
      <c r="Q226" s="86" t="s"/>
      <c r="R226" s="86" t="s"/>
      <c r="S226" s="86" t="s"/>
      <c r="T226" s="86" t="s"/>
      <c r="U226" s="86" t="s"/>
      <c r="V226" s="86" t="s"/>
      <c r="W226" s="86" t="s"/>
      <c r="X226" s="86" t="s"/>
    </row>
    <row r="227" spans="1:24" ht="22.5" customHeight="1">
      <c r="A227" s="390" t="s"/>
      <c r="B227" s="391" t="s"/>
      <c r="C227" s="392" t="s"/>
      <c r="D227" s="393" t="s"/>
      <c r="E227" s="394">
        <f>C227*10000</f>
        <v>0</v>
      </c>
      <c r="F227" s="394">
        <f>E227+E227*D227*B227/360</f>
        <v>0</v>
      </c>
      <c r="G227" s="396">
        <f>F227-E227</f>
        <v>0</v>
      </c>
      <c r="H227" s="366" t="s"/>
      <c r="I227" s="405" t="s"/>
      <c r="J227" s="406" t="s"/>
      <c r="K227" s="399" t="s"/>
      <c r="L227" s="86" t="s"/>
      <c r="M227" s="86" t="s"/>
      <c r="N227" s="86" t="s"/>
      <c r="O227" s="86" t="s"/>
      <c r="P227" s="86" t="s"/>
      <c r="Q227" s="86" t="s"/>
      <c r="R227" s="86" t="s"/>
      <c r="S227" s="86" t="s"/>
      <c r="T227" s="86" t="s"/>
      <c r="U227" s="86" t="s"/>
      <c r="V227" s="86" t="s"/>
      <c r="W227" s="86" t="s"/>
      <c r="X227" s="86" t="s"/>
    </row>
    <row r="228" spans="1:24" ht="22.5" customHeight="1">
      <c r="A228" s="390" t="s"/>
      <c r="B228" s="391" t="s"/>
      <c r="C228" s="392" t="s"/>
      <c r="D228" s="393" t="s"/>
      <c r="E228" s="394">
        <f>C228*10000</f>
        <v>0</v>
      </c>
      <c r="F228" s="394">
        <f>E228+E228*D228*B228/360</f>
        <v>0</v>
      </c>
      <c r="G228" s="396">
        <f>F228-E228</f>
        <v>0</v>
      </c>
      <c r="H228" s="366" t="s"/>
      <c r="I228" s="405" t="s"/>
      <c r="J228" s="406" t="s"/>
      <c r="K228" s="399" t="s"/>
      <c r="L228" s="86" t="s"/>
      <c r="M228" s="86" t="s"/>
      <c r="N228" s="86" t="s"/>
      <c r="O228" s="86" t="s"/>
      <c r="P228" s="86" t="s"/>
      <c r="Q228" s="86" t="s"/>
      <c r="R228" s="86" t="s"/>
      <c r="S228" s="86" t="s"/>
      <c r="T228" s="86" t="s"/>
      <c r="U228" s="86" t="s"/>
      <c r="V228" s="86" t="s"/>
      <c r="W228" s="86" t="s"/>
      <c r="X228" s="86" t="s"/>
    </row>
    <row r="229" spans="1:24" ht="22.5" customHeight="1">
      <c r="A229" s="390" t="s"/>
      <c r="B229" s="391" t="s"/>
      <c r="C229" s="392" t="s"/>
      <c r="D229" s="393" t="s"/>
      <c r="E229" s="394">
        <f>C229*10000</f>
        <v>0</v>
      </c>
      <c r="F229" s="394">
        <f>E229+E229*D229*B229/360</f>
        <v>0</v>
      </c>
      <c r="G229" s="396">
        <f>F229-E229</f>
        <v>0</v>
      </c>
      <c r="H229" s="366" t="s"/>
      <c r="I229" s="405" t="s"/>
      <c r="J229" s="406" t="s"/>
      <c r="K229" s="399" t="s"/>
      <c r="L229" s="86" t="s"/>
      <c r="M229" s="86" t="s"/>
      <c r="N229" s="86" t="s"/>
      <c r="O229" s="86" t="s"/>
      <c r="P229" s="86" t="s"/>
      <c r="Q229" s="86" t="s"/>
      <c r="R229" s="86" t="s"/>
      <c r="S229" s="86" t="s"/>
      <c r="T229" s="86" t="s"/>
      <c r="U229" s="86" t="s"/>
      <c r="V229" s="86" t="s"/>
      <c r="W229" s="86" t="s"/>
      <c r="X229" s="86" t="s"/>
    </row>
    <row r="230" spans="1:24" ht="22.5" customHeight="1">
      <c r="A230" s="390" t="s"/>
      <c r="B230" s="391" t="s"/>
      <c r="C230" s="392" t="s"/>
      <c r="D230" s="393" t="s"/>
      <c r="E230" s="394">
        <f>C230*10000</f>
        <v>0</v>
      </c>
      <c r="F230" s="394">
        <f>E230+E230*D230*B230/360</f>
        <v>0</v>
      </c>
      <c r="G230" s="396">
        <f>F230-E230</f>
        <v>0</v>
      </c>
      <c r="H230" s="366" t="s"/>
      <c r="I230" s="405" t="s"/>
      <c r="J230" s="406" t="s"/>
      <c r="K230" s="399" t="s"/>
      <c r="L230" s="86" t="s"/>
      <c r="M230" s="86" t="s"/>
      <c r="N230" s="86" t="s"/>
      <c r="O230" s="86" t="s"/>
      <c r="P230" s="86" t="s"/>
      <c r="Q230" s="86" t="s"/>
      <c r="R230" s="86" t="s"/>
      <c r="S230" s="86" t="s"/>
      <c r="T230" s="86" t="s"/>
      <c r="U230" s="86" t="s"/>
      <c r="V230" s="86" t="s"/>
      <c r="W230" s="86" t="s"/>
      <c r="X230" s="86" t="s"/>
    </row>
    <row r="231" spans="1:24" ht="22.5" customHeight="1">
      <c r="A231" s="390" t="s"/>
      <c r="B231" s="391" t="s"/>
      <c r="C231" s="392" t="s"/>
      <c r="D231" s="393" t="s"/>
      <c r="E231" s="394">
        <f>C231*10000</f>
        <v>0</v>
      </c>
      <c r="F231" s="394">
        <f>E231+E231*D231*B231/360</f>
        <v>0</v>
      </c>
      <c r="G231" s="396">
        <f>F231-E231</f>
        <v>0</v>
      </c>
      <c r="H231" s="366" t="s"/>
      <c r="I231" s="405" t="s"/>
      <c r="J231" s="406" t="s"/>
      <c r="K231" s="399" t="s"/>
      <c r="L231" s="86" t="s"/>
      <c r="M231" s="86" t="s"/>
      <c r="N231" s="86" t="s"/>
      <c r="O231" s="86" t="s"/>
      <c r="P231" s="86" t="s"/>
      <c r="Q231" s="86" t="s"/>
      <c r="R231" s="86" t="s"/>
      <c r="S231" s="86" t="s"/>
      <c r="T231" s="86" t="s"/>
      <c r="U231" s="86" t="s"/>
      <c r="V231" s="86" t="s"/>
      <c r="W231" s="86" t="s"/>
      <c r="X231" s="86" t="s"/>
    </row>
    <row r="232" spans="1:24" ht="22.5" customHeight="1">
      <c r="A232" s="390" t="s"/>
      <c r="B232" s="391" t="s"/>
      <c r="C232" s="392" t="s"/>
      <c r="D232" s="393" t="s"/>
      <c r="E232" s="394">
        <f>C232*10000</f>
        <v>0</v>
      </c>
      <c r="F232" s="394">
        <f>E232+E232*D232*B232/360</f>
        <v>0</v>
      </c>
      <c r="G232" s="396">
        <f>F232-E232</f>
        <v>0</v>
      </c>
      <c r="H232" s="366" t="s"/>
      <c r="I232" s="405" t="s"/>
      <c r="J232" s="406" t="s"/>
      <c r="K232" s="399" t="s"/>
      <c r="L232" s="86" t="s"/>
      <c r="M232" s="86" t="s"/>
      <c r="N232" s="86" t="s"/>
      <c r="O232" s="86" t="s"/>
      <c r="P232" s="86" t="s"/>
      <c r="Q232" s="86" t="s"/>
      <c r="R232" s="86" t="s"/>
      <c r="S232" s="86" t="s"/>
      <c r="T232" s="86" t="s"/>
      <c r="U232" s="86" t="s"/>
      <c r="V232" s="86" t="s"/>
      <c r="W232" s="86" t="s"/>
      <c r="X232" s="86" t="s"/>
    </row>
    <row r="233" spans="1:24" ht="22.5" customHeight="1">
      <c r="A233" s="390" t="s"/>
      <c r="B233" s="391" t="s"/>
      <c r="C233" s="392" t="s"/>
      <c r="D233" s="393" t="s"/>
      <c r="E233" s="394">
        <f>C233*10000</f>
        <v>0</v>
      </c>
      <c r="F233" s="394">
        <f>E233+E233*D233*B233/360</f>
        <v>0</v>
      </c>
      <c r="G233" s="396">
        <f>F233-E233</f>
        <v>0</v>
      </c>
      <c r="H233" s="366" t="s"/>
      <c r="I233" s="405" t="s"/>
      <c r="J233" s="406" t="s"/>
      <c r="K233" s="399" t="s"/>
      <c r="L233" s="86" t="s"/>
      <c r="M233" s="86" t="s"/>
      <c r="N233" s="86" t="s"/>
      <c r="O233" s="86" t="s"/>
      <c r="P233" s="86" t="s"/>
      <c r="Q233" s="86" t="s"/>
      <c r="R233" s="86" t="s"/>
      <c r="S233" s="86" t="s"/>
      <c r="T233" s="86" t="s"/>
      <c r="U233" s="86" t="s"/>
      <c r="V233" s="86" t="s"/>
      <c r="W233" s="86" t="s"/>
      <c r="X233" s="86" t="s"/>
    </row>
    <row r="234" spans="1:24" ht="22.5" customHeight="1">
      <c r="A234" s="390" t="s"/>
      <c r="B234" s="391" t="s"/>
      <c r="C234" s="392" t="s"/>
      <c r="D234" s="393" t="s"/>
      <c r="E234" s="394">
        <f>C234*10000</f>
        <v>0</v>
      </c>
      <c r="F234" s="394">
        <f>E234+E234*D234*B234/360</f>
        <v>0</v>
      </c>
      <c r="G234" s="396">
        <f>F234-E234</f>
        <v>0</v>
      </c>
      <c r="H234" s="366" t="s"/>
      <c r="I234" s="405" t="s"/>
      <c r="J234" s="406" t="s"/>
      <c r="K234" s="399" t="s"/>
      <c r="L234" s="86" t="s"/>
      <c r="M234" s="86" t="s"/>
      <c r="N234" s="86" t="s"/>
      <c r="O234" s="86" t="s"/>
      <c r="P234" s="86" t="s"/>
      <c r="Q234" s="86" t="s"/>
      <c r="R234" s="86" t="s"/>
      <c r="S234" s="86" t="s"/>
      <c r="T234" s="86" t="s"/>
      <c r="U234" s="86" t="s"/>
      <c r="V234" s="86" t="s"/>
      <c r="W234" s="86" t="s"/>
      <c r="X234" s="86" t="s"/>
    </row>
    <row r="235" spans="1:24" ht="22.5" customHeight="1">
      <c r="A235" s="390" t="s"/>
      <c r="B235" s="391" t="s"/>
      <c r="C235" s="392" t="s"/>
      <c r="D235" s="393" t="s"/>
      <c r="E235" s="394">
        <f>C235*10000</f>
        <v>0</v>
      </c>
      <c r="F235" s="394">
        <f>E235+E235*D235*B235/360</f>
        <v>0</v>
      </c>
      <c r="G235" s="396">
        <f>F235-E235</f>
        <v>0</v>
      </c>
      <c r="H235" s="366" t="s"/>
      <c r="I235" s="405" t="s"/>
      <c r="J235" s="406" t="s"/>
      <c r="K235" s="399" t="s"/>
      <c r="L235" s="86" t="s"/>
      <c r="M235" s="86" t="s"/>
      <c r="N235" s="86" t="s"/>
      <c r="O235" s="86" t="s"/>
      <c r="P235" s="86" t="s"/>
      <c r="Q235" s="86" t="s"/>
      <c r="R235" s="86" t="s"/>
      <c r="S235" s="86" t="s"/>
      <c r="T235" s="86" t="s"/>
      <c r="U235" s="86" t="s"/>
      <c r="V235" s="86" t="s"/>
      <c r="W235" s="86" t="s"/>
      <c r="X235" s="86" t="s"/>
    </row>
    <row r="236" spans="1:24" ht="22.5" customHeight="1">
      <c r="A236" s="390" t="s"/>
      <c r="B236" s="391" t="s"/>
      <c r="C236" s="392" t="s"/>
      <c r="D236" s="393" t="s"/>
      <c r="E236" s="394">
        <f>C236*10000</f>
        <v>0</v>
      </c>
      <c r="F236" s="394">
        <f>E236+E236*D236*B236/360</f>
        <v>0</v>
      </c>
      <c r="G236" s="396">
        <f>F236-E236</f>
        <v>0</v>
      </c>
      <c r="H236" s="366" t="s"/>
      <c r="I236" s="405" t="s"/>
      <c r="J236" s="406" t="s"/>
      <c r="K236" s="399" t="s"/>
      <c r="L236" s="86" t="s"/>
      <c r="M236" s="86" t="s"/>
      <c r="N236" s="86" t="s"/>
      <c r="O236" s="86" t="s"/>
      <c r="P236" s="86" t="s"/>
      <c r="Q236" s="86" t="s"/>
      <c r="R236" s="86" t="s"/>
      <c r="S236" s="86" t="s"/>
      <c r="T236" s="86" t="s"/>
      <c r="U236" s="86" t="s"/>
      <c r="V236" s="86" t="s"/>
      <c r="W236" s="86" t="s"/>
      <c r="X236" s="86" t="s"/>
    </row>
    <row r="237" spans="1:24" ht="22.5" customHeight="1">
      <c r="A237" s="390" t="s"/>
      <c r="B237" s="391" t="s"/>
      <c r="C237" s="392" t="s"/>
      <c r="D237" s="393" t="s"/>
      <c r="E237" s="394">
        <f>C237*10000</f>
        <v>0</v>
      </c>
      <c r="F237" s="394">
        <f>E237+E237*D237*B237/360</f>
        <v>0</v>
      </c>
      <c r="G237" s="396">
        <f>F237-E237</f>
        <v>0</v>
      </c>
      <c r="H237" s="366" t="s"/>
      <c r="I237" s="405" t="s"/>
      <c r="J237" s="406" t="s"/>
      <c r="K237" s="399" t="s"/>
      <c r="L237" s="86" t="s"/>
      <c r="M237" s="86" t="s"/>
      <c r="N237" s="86" t="s"/>
      <c r="O237" s="86" t="s"/>
      <c r="P237" s="86" t="s"/>
      <c r="Q237" s="86" t="s"/>
      <c r="R237" s="86" t="s"/>
      <c r="S237" s="86" t="s"/>
      <c r="T237" s="86" t="s"/>
      <c r="U237" s="86" t="s"/>
      <c r="V237" s="86" t="s"/>
      <c r="W237" s="86" t="s"/>
      <c r="X237" s="86" t="s"/>
    </row>
    <row r="238" spans="1:24" ht="22.5" customHeight="1">
      <c r="A238" s="390" t="s"/>
      <c r="B238" s="391" t="s"/>
      <c r="C238" s="392" t="s"/>
      <c r="D238" s="393" t="s"/>
      <c r="E238" s="394">
        <f>C238*10000</f>
        <v>0</v>
      </c>
      <c r="F238" s="394">
        <f>E238+E238*D238*B238/360</f>
        <v>0</v>
      </c>
      <c r="G238" s="396">
        <f>F238-E238</f>
        <v>0</v>
      </c>
      <c r="H238" s="366" t="s"/>
      <c r="I238" s="405" t="s"/>
      <c r="J238" s="406" t="s"/>
      <c r="K238" s="399" t="s"/>
      <c r="L238" s="86" t="s"/>
      <c r="M238" s="86" t="s"/>
      <c r="N238" s="86" t="s"/>
      <c r="O238" s="86" t="s"/>
      <c r="P238" s="86" t="s"/>
      <c r="Q238" s="86" t="s"/>
      <c r="R238" s="86" t="s"/>
      <c r="S238" s="86" t="s"/>
      <c r="T238" s="86" t="s"/>
      <c r="U238" s="86" t="s"/>
      <c r="V238" s="86" t="s"/>
      <c r="W238" s="86" t="s"/>
      <c r="X238" s="86" t="s"/>
    </row>
    <row r="239" spans="1:24" ht="22.5" customHeight="1">
      <c r="A239" s="390" t="s"/>
      <c r="B239" s="391" t="s"/>
      <c r="C239" s="392" t="s"/>
      <c r="D239" s="393" t="s"/>
      <c r="E239" s="394">
        <f>C239*10000</f>
        <v>0</v>
      </c>
      <c r="F239" s="394">
        <f>E239+E239*D239*B239/360</f>
        <v>0</v>
      </c>
      <c r="G239" s="396">
        <f>F239-E239</f>
        <v>0</v>
      </c>
      <c r="H239" s="366" t="s"/>
      <c r="I239" s="405" t="s"/>
      <c r="J239" s="406" t="s"/>
      <c r="K239" s="399" t="s"/>
      <c r="L239" s="86" t="s"/>
      <c r="M239" s="86" t="s"/>
      <c r="N239" s="86" t="s"/>
      <c r="O239" s="86" t="s"/>
      <c r="P239" s="86" t="s"/>
      <c r="Q239" s="86" t="s"/>
      <c r="R239" s="86" t="s"/>
      <c r="S239" s="86" t="s"/>
      <c r="T239" s="86" t="s"/>
      <c r="U239" s="86" t="s"/>
      <c r="V239" s="86" t="s"/>
      <c r="W239" s="86" t="s"/>
      <c r="X239" s="86" t="s"/>
    </row>
    <row r="240" spans="1:24" ht="22.5" customHeight="1">
      <c r="A240" s="390" t="s"/>
      <c r="B240" s="391" t="s"/>
      <c r="C240" s="392" t="s"/>
      <c r="D240" s="393" t="s"/>
      <c r="E240" s="394">
        <f>C240*10000</f>
        <v>0</v>
      </c>
      <c r="F240" s="394">
        <f>E240+E240*D240*B240/360</f>
        <v>0</v>
      </c>
      <c r="G240" s="396">
        <f>F240-E240</f>
        <v>0</v>
      </c>
      <c r="H240" s="366" t="s"/>
      <c r="I240" s="405" t="s"/>
      <c r="J240" s="406" t="s"/>
      <c r="K240" s="399" t="s"/>
      <c r="L240" s="86" t="s"/>
      <c r="M240" s="86" t="s"/>
      <c r="N240" s="86" t="s"/>
      <c r="O240" s="86" t="s"/>
      <c r="P240" s="86" t="s"/>
      <c r="Q240" s="86" t="s"/>
      <c r="R240" s="86" t="s"/>
      <c r="S240" s="86" t="s"/>
      <c r="T240" s="86" t="s"/>
      <c r="U240" s="86" t="s"/>
      <c r="V240" s="86" t="s"/>
      <c r="W240" s="86" t="s"/>
      <c r="X240" s="86" t="s"/>
    </row>
    <row r="241" spans="1:24" ht="22.5" customHeight="1">
      <c r="A241" s="390" t="s"/>
      <c r="B241" s="391" t="s"/>
      <c r="C241" s="392" t="s"/>
      <c r="D241" s="393" t="s"/>
      <c r="E241" s="394">
        <f>C241*10000</f>
        <v>0</v>
      </c>
      <c r="F241" s="394">
        <f>E241+E241*D241*B241/360</f>
        <v>0</v>
      </c>
      <c r="G241" s="396">
        <f>F241-E241</f>
        <v>0</v>
      </c>
      <c r="H241" s="366" t="s"/>
      <c r="I241" s="405" t="s"/>
      <c r="J241" s="406" t="s"/>
      <c r="K241" s="399" t="s"/>
      <c r="L241" s="86" t="s"/>
      <c r="M241" s="86" t="s"/>
      <c r="N241" s="86" t="s"/>
      <c r="O241" s="86" t="s"/>
      <c r="P241" s="86" t="s"/>
      <c r="Q241" s="86" t="s"/>
      <c r="R241" s="86" t="s"/>
      <c r="S241" s="86" t="s"/>
      <c r="T241" s="86" t="s"/>
      <c r="U241" s="86" t="s"/>
      <c r="V241" s="86" t="s"/>
      <c r="W241" s="86" t="s"/>
      <c r="X241" s="86" t="s"/>
    </row>
    <row r="242" spans="1:24" ht="22.5" customHeight="1">
      <c r="A242" s="390" t="s"/>
      <c r="B242" s="391" t="s"/>
      <c r="C242" s="392" t="s"/>
      <c r="D242" s="393" t="s"/>
      <c r="E242" s="394">
        <f>C242*10000</f>
        <v>0</v>
      </c>
      <c r="F242" s="394">
        <f>E242+E242*D242*B242/360</f>
        <v>0</v>
      </c>
      <c r="G242" s="396">
        <f>F242-E242</f>
        <v>0</v>
      </c>
      <c r="H242" s="366" t="s"/>
      <c r="I242" s="405" t="s"/>
      <c r="J242" s="406" t="s"/>
      <c r="K242" s="399" t="s"/>
      <c r="L242" s="86" t="s"/>
      <c r="M242" s="86" t="s"/>
      <c r="N242" s="86" t="s"/>
      <c r="O242" s="86" t="s"/>
      <c r="P242" s="86" t="s"/>
      <c r="Q242" s="86" t="s"/>
      <c r="R242" s="86" t="s"/>
      <c r="S242" s="86" t="s"/>
      <c r="T242" s="86" t="s"/>
      <c r="U242" s="86" t="s"/>
      <c r="V242" s="86" t="s"/>
      <c r="W242" s="86" t="s"/>
      <c r="X242" s="86" t="s"/>
    </row>
    <row r="243" spans="1:24" ht="22.5" customHeight="1">
      <c r="A243" s="390" t="s"/>
      <c r="B243" s="391" t="s"/>
      <c r="C243" s="392" t="s"/>
      <c r="D243" s="393" t="s"/>
      <c r="E243" s="394">
        <f>C243*10000</f>
        <v>0</v>
      </c>
      <c r="F243" s="394">
        <f>E243+E243*D243*B243/360</f>
        <v>0</v>
      </c>
      <c r="G243" s="396">
        <f>F243-E243</f>
        <v>0</v>
      </c>
      <c r="H243" s="366" t="s"/>
      <c r="I243" s="405" t="s"/>
      <c r="J243" s="406" t="s"/>
      <c r="K243" s="399" t="s"/>
      <c r="L243" s="86" t="s"/>
      <c r="M243" s="86" t="s"/>
      <c r="N243" s="86" t="s"/>
      <c r="O243" s="86" t="s"/>
      <c r="P243" s="86" t="s"/>
      <c r="Q243" s="86" t="s"/>
      <c r="R243" s="86" t="s"/>
      <c r="S243" s="86" t="s"/>
      <c r="T243" s="86" t="s"/>
      <c r="U243" s="86" t="s"/>
      <c r="V243" s="86" t="s"/>
      <c r="W243" s="86" t="s"/>
      <c r="X243" s="86" t="s"/>
    </row>
    <row r="244" spans="1:24" ht="22.5" customHeight="1">
      <c r="A244" s="390" t="s"/>
      <c r="B244" s="391" t="s"/>
      <c r="C244" s="392" t="s"/>
      <c r="D244" s="393" t="s"/>
      <c r="E244" s="394">
        <f>C244*10000</f>
        <v>0</v>
      </c>
      <c r="F244" s="394">
        <f>E244+E244*D244*B244/360</f>
        <v>0</v>
      </c>
      <c r="G244" s="396">
        <f>F244-E244</f>
        <v>0</v>
      </c>
      <c r="H244" s="366" t="s"/>
      <c r="I244" s="405" t="s"/>
      <c r="J244" s="406" t="s"/>
      <c r="K244" s="399" t="s"/>
      <c r="L244" s="86" t="s"/>
      <c r="M244" s="86" t="s"/>
      <c r="N244" s="86" t="s"/>
      <c r="O244" s="86" t="s"/>
      <c r="P244" s="86" t="s"/>
      <c r="Q244" s="86" t="s"/>
      <c r="R244" s="86" t="s"/>
      <c r="S244" s="86" t="s"/>
      <c r="T244" s="86" t="s"/>
      <c r="U244" s="86" t="s"/>
      <c r="V244" s="86" t="s"/>
      <c r="W244" s="86" t="s"/>
      <c r="X244" s="86" t="s"/>
    </row>
    <row r="245" spans="1:24" ht="22.5" customHeight="1">
      <c r="A245" s="390" t="s"/>
      <c r="B245" s="391" t="s"/>
      <c r="C245" s="392" t="s"/>
      <c r="D245" s="393" t="s"/>
      <c r="E245" s="394">
        <f>C245*10000</f>
        <v>0</v>
      </c>
      <c r="F245" s="394">
        <f>E245+E245*D245*B245/360</f>
        <v>0</v>
      </c>
      <c r="G245" s="396">
        <f>F245-E245</f>
        <v>0</v>
      </c>
      <c r="H245" s="366" t="s"/>
      <c r="I245" s="405" t="s"/>
      <c r="J245" s="406" t="s"/>
      <c r="K245" s="399" t="s"/>
      <c r="L245" s="86" t="s"/>
      <c r="M245" s="86" t="s"/>
      <c r="N245" s="86" t="s"/>
      <c r="O245" s="86" t="s"/>
      <c r="P245" s="86" t="s"/>
      <c r="Q245" s="86" t="s"/>
      <c r="R245" s="86" t="s"/>
      <c r="S245" s="86" t="s"/>
      <c r="T245" s="86" t="s"/>
      <c r="U245" s="86" t="s"/>
      <c r="V245" s="86" t="s"/>
      <c r="W245" s="86" t="s"/>
      <c r="X245" s="86" t="s"/>
    </row>
    <row r="246" spans="1:24" ht="22.5" customHeight="1">
      <c r="A246" s="390" t="s"/>
      <c r="B246" s="391" t="s"/>
      <c r="C246" s="392" t="s"/>
      <c r="D246" s="393" t="s"/>
      <c r="E246" s="394">
        <f>C246*10000</f>
        <v>0</v>
      </c>
      <c r="F246" s="394">
        <f>E246+E246*D246*B246/360</f>
        <v>0</v>
      </c>
      <c r="G246" s="396">
        <f>F246-E246</f>
        <v>0</v>
      </c>
      <c r="H246" s="366" t="s"/>
      <c r="I246" s="405" t="s"/>
      <c r="J246" s="406" t="s"/>
      <c r="K246" s="399" t="s"/>
      <c r="L246" s="86" t="s"/>
      <c r="M246" s="86" t="s"/>
      <c r="N246" s="86" t="s"/>
      <c r="O246" s="86" t="s"/>
      <c r="P246" s="86" t="s"/>
      <c r="Q246" s="86" t="s"/>
      <c r="R246" s="86" t="s"/>
      <c r="S246" s="86" t="s"/>
      <c r="T246" s="86" t="s"/>
      <c r="U246" s="86" t="s"/>
      <c r="V246" s="86" t="s"/>
      <c r="W246" s="86" t="s"/>
      <c r="X246" s="86" t="s"/>
    </row>
    <row r="247" spans="1:24" ht="22.5" customHeight="1">
      <c r="A247" s="390" t="s"/>
      <c r="B247" s="391" t="s"/>
      <c r="C247" s="392" t="s"/>
      <c r="D247" s="393" t="s"/>
      <c r="E247" s="394">
        <f>C247*10000</f>
        <v>0</v>
      </c>
      <c r="F247" s="394">
        <f>E247+E247*D247*B247/360</f>
        <v>0</v>
      </c>
      <c r="G247" s="396">
        <f>F247-E247</f>
        <v>0</v>
      </c>
      <c r="H247" s="366" t="s"/>
      <c r="I247" s="405" t="s"/>
      <c r="J247" s="406" t="s"/>
      <c r="K247" s="399" t="s"/>
      <c r="L247" s="86" t="s"/>
      <c r="M247" s="86" t="s"/>
      <c r="N247" s="86" t="s"/>
      <c r="O247" s="86" t="s"/>
      <c r="P247" s="86" t="s"/>
      <c r="Q247" s="86" t="s"/>
      <c r="R247" s="86" t="s"/>
      <c r="S247" s="86" t="s"/>
      <c r="T247" s="86" t="s"/>
      <c r="U247" s="86" t="s"/>
      <c r="V247" s="86" t="s"/>
      <c r="W247" s="86" t="s"/>
      <c r="X247" s="86" t="s"/>
    </row>
    <row r="248" spans="1:24" ht="22.5" customHeight="1">
      <c r="A248" s="390" t="s"/>
      <c r="B248" s="391" t="s"/>
      <c r="C248" s="392" t="s"/>
      <c r="D248" s="393" t="s"/>
      <c r="E248" s="394">
        <f>C248*10000</f>
        <v>0</v>
      </c>
      <c r="F248" s="394">
        <f>E248+E248*D248*B248/360</f>
        <v>0</v>
      </c>
      <c r="G248" s="396">
        <f>F248-E248</f>
        <v>0</v>
      </c>
      <c r="H248" s="366" t="s"/>
      <c r="I248" s="405" t="s"/>
      <c r="J248" s="406" t="s"/>
      <c r="K248" s="399" t="s"/>
      <c r="L248" s="86" t="s"/>
      <c r="M248" s="86" t="s"/>
      <c r="N248" s="86" t="s"/>
      <c r="O248" s="86" t="s"/>
      <c r="P248" s="86" t="s"/>
      <c r="Q248" s="86" t="s"/>
      <c r="R248" s="86" t="s"/>
      <c r="S248" s="86" t="s"/>
      <c r="T248" s="86" t="s"/>
      <c r="U248" s="86" t="s"/>
      <c r="V248" s="86" t="s"/>
      <c r="W248" s="86" t="s"/>
      <c r="X248" s="86" t="s"/>
    </row>
    <row r="249" spans="1:24" ht="22.5" customHeight="1">
      <c r="A249" s="390" t="s"/>
      <c r="B249" s="391" t="s"/>
      <c r="C249" s="392" t="s"/>
      <c r="D249" s="393" t="s"/>
      <c r="E249" s="394">
        <f>C249*10000</f>
        <v>0</v>
      </c>
      <c r="F249" s="394">
        <f>E249+E249*D249*B249/360</f>
        <v>0</v>
      </c>
      <c r="G249" s="396">
        <f>F249-E249</f>
        <v>0</v>
      </c>
      <c r="H249" s="366" t="s"/>
      <c r="I249" s="405" t="s"/>
      <c r="J249" s="406" t="s"/>
      <c r="K249" s="399" t="s"/>
      <c r="L249" s="86" t="s"/>
      <c r="M249" s="86" t="s"/>
      <c r="N249" s="86" t="s"/>
      <c r="O249" s="86" t="s"/>
      <c r="P249" s="86" t="s"/>
      <c r="Q249" s="86" t="s"/>
      <c r="R249" s="86" t="s"/>
      <c r="S249" s="86" t="s"/>
      <c r="T249" s="86" t="s"/>
      <c r="U249" s="86" t="s"/>
      <c r="V249" s="86" t="s"/>
      <c r="W249" s="86" t="s"/>
      <c r="X249" s="86" t="s"/>
    </row>
    <row r="250" spans="1:24" ht="22.5" customHeight="1">
      <c r="A250" s="390" t="s"/>
      <c r="B250" s="391" t="s"/>
      <c r="C250" s="392" t="s"/>
      <c r="D250" s="393" t="s"/>
      <c r="E250" s="394">
        <f>C250*10000</f>
        <v>0</v>
      </c>
      <c r="F250" s="394">
        <f>E250+E250*D250*B250/360</f>
        <v>0</v>
      </c>
      <c r="G250" s="396">
        <f>F250-E250</f>
        <v>0</v>
      </c>
      <c r="H250" s="366" t="s"/>
      <c r="I250" s="405" t="s"/>
      <c r="J250" s="406" t="s"/>
      <c r="K250" s="399" t="s"/>
      <c r="L250" s="86" t="s"/>
      <c r="M250" s="86" t="s"/>
      <c r="N250" s="86" t="s"/>
      <c r="O250" s="86" t="s"/>
      <c r="P250" s="86" t="s"/>
      <c r="Q250" s="86" t="s"/>
      <c r="R250" s="86" t="s"/>
      <c r="S250" s="86" t="s"/>
      <c r="T250" s="86" t="s"/>
      <c r="U250" s="86" t="s"/>
      <c r="V250" s="86" t="s"/>
      <c r="W250" s="86" t="s"/>
      <c r="X250" s="86" t="s"/>
    </row>
    <row r="251" spans="1:24" ht="22.5" customHeight="1">
      <c r="A251" s="390" t="s"/>
      <c r="B251" s="391" t="s"/>
      <c r="C251" s="392" t="s"/>
      <c r="D251" s="393" t="s"/>
      <c r="E251" s="394">
        <f>C251*10000</f>
        <v>0</v>
      </c>
      <c r="F251" s="394">
        <f>E251+E251*D251*B251/360</f>
        <v>0</v>
      </c>
      <c r="G251" s="396">
        <f>F251-E251</f>
        <v>0</v>
      </c>
      <c r="H251" s="366" t="s"/>
      <c r="I251" s="405" t="s"/>
      <c r="J251" s="406" t="s"/>
      <c r="K251" s="399" t="s"/>
      <c r="L251" s="86" t="s"/>
      <c r="M251" s="86" t="s"/>
      <c r="N251" s="86" t="s"/>
      <c r="O251" s="86" t="s"/>
      <c r="P251" s="86" t="s"/>
      <c r="Q251" s="86" t="s"/>
      <c r="R251" s="86" t="s"/>
      <c r="S251" s="86" t="s"/>
      <c r="T251" s="86" t="s"/>
      <c r="U251" s="86" t="s"/>
      <c r="V251" s="86" t="s"/>
      <c r="W251" s="86" t="s"/>
      <c r="X251" s="86" t="s"/>
    </row>
    <row r="252" spans="1:24" ht="22.5" customHeight="1">
      <c r="A252" s="390" t="s"/>
      <c r="B252" s="391" t="s"/>
      <c r="C252" s="392" t="s"/>
      <c r="D252" s="393" t="s"/>
      <c r="E252" s="394">
        <f>C252*10000</f>
        <v>0</v>
      </c>
      <c r="F252" s="394">
        <f>E252+E252*D252*B252/360</f>
        <v>0</v>
      </c>
      <c r="G252" s="396">
        <f>F252-E252</f>
        <v>0</v>
      </c>
      <c r="H252" s="366" t="s"/>
      <c r="I252" s="405" t="s"/>
      <c r="J252" s="406" t="s"/>
      <c r="K252" s="399" t="s"/>
      <c r="L252" s="86" t="s"/>
      <c r="M252" s="86" t="s"/>
      <c r="N252" s="86" t="s"/>
      <c r="O252" s="86" t="s"/>
      <c r="P252" s="86" t="s"/>
      <c r="Q252" s="86" t="s"/>
      <c r="R252" s="86" t="s"/>
      <c r="S252" s="86" t="s"/>
      <c r="T252" s="86" t="s"/>
      <c r="U252" s="86" t="s"/>
      <c r="V252" s="86" t="s"/>
      <c r="W252" s="86" t="s"/>
      <c r="X252" s="86" t="s"/>
    </row>
    <row r="253" spans="1:24" ht="22.5" customHeight="1">
      <c r="A253" s="390" t="s"/>
      <c r="B253" s="391" t="s"/>
      <c r="C253" s="392" t="s"/>
      <c r="D253" s="393" t="s"/>
      <c r="E253" s="394">
        <f>C253*10000</f>
        <v>0</v>
      </c>
      <c r="F253" s="394">
        <f>E253+E253*D253*B253/360</f>
        <v>0</v>
      </c>
      <c r="G253" s="396">
        <f>F253-E253</f>
        <v>0</v>
      </c>
      <c r="H253" s="366" t="s"/>
      <c r="I253" s="405" t="s"/>
      <c r="J253" s="406" t="s"/>
      <c r="K253" s="399" t="s"/>
      <c r="L253" s="86" t="s"/>
      <c r="M253" s="86" t="s"/>
      <c r="N253" s="86" t="s"/>
      <c r="O253" s="86" t="s"/>
      <c r="P253" s="86" t="s"/>
      <c r="Q253" s="86" t="s"/>
      <c r="R253" s="86" t="s"/>
      <c r="S253" s="86" t="s"/>
      <c r="T253" s="86" t="s"/>
      <c r="U253" s="86" t="s"/>
      <c r="V253" s="86" t="s"/>
      <c r="W253" s="86" t="s"/>
      <c r="X253" s="86" t="s"/>
    </row>
    <row r="254" spans="1:24" ht="22.5" customHeight="1">
      <c r="A254" s="390" t="s"/>
      <c r="B254" s="391" t="s"/>
      <c r="C254" s="392" t="s"/>
      <c r="D254" s="393" t="s"/>
      <c r="E254" s="394">
        <f>C254*10000</f>
        <v>0</v>
      </c>
      <c r="F254" s="394">
        <f>E254+E254*D254*B254/360</f>
        <v>0</v>
      </c>
      <c r="G254" s="396">
        <f>F254-E254</f>
        <v>0</v>
      </c>
      <c r="H254" s="366" t="s"/>
      <c r="I254" s="405" t="s"/>
      <c r="J254" s="406" t="s"/>
      <c r="K254" s="399" t="s"/>
      <c r="L254" s="86" t="s"/>
      <c r="M254" s="86" t="s"/>
      <c r="N254" s="86" t="s"/>
      <c r="O254" s="86" t="s"/>
      <c r="P254" s="86" t="s"/>
      <c r="Q254" s="86" t="s"/>
      <c r="R254" s="86" t="s"/>
      <c r="S254" s="86" t="s"/>
      <c r="T254" s="86" t="s"/>
      <c r="U254" s="86" t="s"/>
      <c r="V254" s="86" t="s"/>
      <c r="W254" s="86" t="s"/>
      <c r="X254" s="86" t="s"/>
    </row>
    <row r="255" spans="1:24" ht="22.5" customHeight="1">
      <c r="A255" s="390" t="s"/>
      <c r="B255" s="391" t="s"/>
      <c r="C255" s="392" t="s"/>
      <c r="D255" s="393" t="s"/>
      <c r="E255" s="394">
        <f>C255*10000</f>
        <v>0</v>
      </c>
      <c r="F255" s="394">
        <f>E255+E255*D255*B255/360</f>
        <v>0</v>
      </c>
      <c r="G255" s="396">
        <f>F255-E255</f>
        <v>0</v>
      </c>
      <c r="H255" s="366" t="s"/>
      <c r="I255" s="405" t="s"/>
      <c r="J255" s="406" t="s"/>
      <c r="K255" s="399" t="s"/>
      <c r="L255" s="86" t="s"/>
      <c r="M255" s="86" t="s"/>
      <c r="N255" s="86" t="s"/>
      <c r="O255" s="86" t="s"/>
      <c r="P255" s="86" t="s"/>
      <c r="Q255" s="86" t="s"/>
      <c r="R255" s="86" t="s"/>
      <c r="S255" s="86" t="s"/>
      <c r="T255" s="86" t="s"/>
      <c r="U255" s="86" t="s"/>
      <c r="V255" s="86" t="s"/>
      <c r="W255" s="86" t="s"/>
      <c r="X255" s="86" t="s"/>
    </row>
    <row r="256" spans="1:24" ht="22.5" customHeight="1">
      <c r="A256" s="390" t="s"/>
      <c r="B256" s="391" t="s"/>
      <c r="C256" s="392" t="s"/>
      <c r="D256" s="393" t="s"/>
      <c r="E256" s="394">
        <f>C256*10000</f>
        <v>0</v>
      </c>
      <c r="F256" s="394">
        <f>E256+E256*D256*B256/360</f>
        <v>0</v>
      </c>
      <c r="G256" s="396">
        <f>F256-E256</f>
        <v>0</v>
      </c>
      <c r="H256" s="366" t="s"/>
      <c r="I256" s="405" t="s"/>
      <c r="J256" s="406" t="s"/>
      <c r="K256" s="399" t="s"/>
      <c r="L256" s="86" t="s"/>
      <c r="M256" s="86" t="s"/>
      <c r="N256" s="86" t="s"/>
      <c r="O256" s="86" t="s"/>
      <c r="P256" s="86" t="s"/>
      <c r="Q256" s="86" t="s"/>
      <c r="R256" s="86" t="s"/>
      <c r="S256" s="86" t="s"/>
      <c r="T256" s="86" t="s"/>
      <c r="U256" s="86" t="s"/>
      <c r="V256" s="86" t="s"/>
      <c r="W256" s="86" t="s"/>
      <c r="X256" s="86" t="s"/>
    </row>
    <row r="257" spans="1:24" ht="22.5" customHeight="1">
      <c r="A257" s="390" t="s"/>
      <c r="B257" s="391" t="s"/>
      <c r="C257" s="392" t="s"/>
      <c r="D257" s="393" t="s"/>
      <c r="E257" s="394">
        <f>C257*10000</f>
        <v>0</v>
      </c>
      <c r="F257" s="394">
        <f>E257+E257*D257*B257/360</f>
        <v>0</v>
      </c>
      <c r="G257" s="396">
        <f>F257-E257</f>
        <v>0</v>
      </c>
      <c r="H257" s="366" t="s"/>
      <c r="I257" s="405" t="s"/>
      <c r="J257" s="406" t="s"/>
      <c r="K257" s="399" t="s"/>
      <c r="L257" s="86" t="s"/>
      <c r="M257" s="86" t="s"/>
      <c r="N257" s="86" t="s"/>
      <c r="O257" s="86" t="s"/>
      <c r="P257" s="86" t="s"/>
      <c r="Q257" s="86" t="s"/>
      <c r="R257" s="86" t="s"/>
      <c r="S257" s="86" t="s"/>
      <c r="T257" s="86" t="s"/>
      <c r="U257" s="86" t="s"/>
      <c r="V257" s="86" t="s"/>
      <c r="W257" s="86" t="s"/>
      <c r="X257" s="86" t="s"/>
    </row>
    <row r="258" spans="1:24" ht="22.5" customHeight="1">
      <c r="A258" s="390" t="s"/>
      <c r="B258" s="391" t="s"/>
      <c r="C258" s="392" t="s"/>
      <c r="D258" s="393" t="s"/>
      <c r="E258" s="394">
        <f>C258*10000</f>
        <v>0</v>
      </c>
      <c r="F258" s="394">
        <f>E258+E258*D258*B258/360</f>
        <v>0</v>
      </c>
      <c r="G258" s="396">
        <f>F258-E258</f>
        <v>0</v>
      </c>
      <c r="H258" s="366" t="s"/>
      <c r="I258" s="405" t="s"/>
      <c r="J258" s="406" t="s"/>
      <c r="K258" s="399" t="s"/>
      <c r="L258" s="86" t="s"/>
      <c r="M258" s="86" t="s"/>
      <c r="N258" s="86" t="s"/>
      <c r="O258" s="86" t="s"/>
      <c r="P258" s="86" t="s"/>
      <c r="Q258" s="86" t="s"/>
      <c r="R258" s="86" t="s"/>
      <c r="S258" s="86" t="s"/>
      <c r="T258" s="86" t="s"/>
      <c r="U258" s="86" t="s"/>
      <c r="V258" s="86" t="s"/>
      <c r="W258" s="86" t="s"/>
      <c r="X258" s="86" t="s"/>
    </row>
    <row r="259" spans="1:24" ht="22.5" customHeight="1">
      <c r="A259" s="390" t="s"/>
      <c r="B259" s="391" t="s"/>
      <c r="C259" s="392" t="s"/>
      <c r="D259" s="393" t="s"/>
      <c r="E259" s="394">
        <f>C259*10000</f>
        <v>0</v>
      </c>
      <c r="F259" s="394">
        <f>E259+E259*D259*B259/360</f>
        <v>0</v>
      </c>
      <c r="G259" s="396">
        <f>F259-E259</f>
        <v>0</v>
      </c>
      <c r="H259" s="366" t="s"/>
      <c r="I259" s="405" t="s"/>
      <c r="J259" s="406" t="s"/>
      <c r="K259" s="399" t="s"/>
      <c r="L259" s="86" t="s"/>
      <c r="M259" s="86" t="s"/>
      <c r="N259" s="86" t="s"/>
      <c r="O259" s="86" t="s"/>
      <c r="P259" s="86" t="s"/>
      <c r="Q259" s="86" t="s"/>
      <c r="R259" s="86" t="s"/>
      <c r="S259" s="86" t="s"/>
      <c r="T259" s="86" t="s"/>
      <c r="U259" s="86" t="s"/>
      <c r="V259" s="86" t="s"/>
      <c r="W259" s="86" t="s"/>
      <c r="X259" s="86" t="s"/>
    </row>
    <row r="260" spans="1:24" ht="22.5" customHeight="1">
      <c r="A260" s="390" t="s"/>
      <c r="B260" s="391" t="s"/>
      <c r="C260" s="392" t="s"/>
      <c r="D260" s="393" t="s"/>
      <c r="E260" s="394">
        <f>C260*10000</f>
        <v>0</v>
      </c>
      <c r="F260" s="394">
        <f>E260+E260*D260*B260/360</f>
        <v>0</v>
      </c>
      <c r="G260" s="396">
        <f>F260-E260</f>
        <v>0</v>
      </c>
      <c r="H260" s="366" t="s"/>
      <c r="I260" s="405" t="s"/>
      <c r="J260" s="406" t="s"/>
      <c r="K260" s="399" t="s"/>
      <c r="L260" s="86" t="s"/>
      <c r="M260" s="86" t="s"/>
      <c r="N260" s="86" t="s"/>
      <c r="O260" s="86" t="s"/>
      <c r="P260" s="86" t="s"/>
      <c r="Q260" s="86" t="s"/>
      <c r="R260" s="86" t="s"/>
      <c r="S260" s="86" t="s"/>
      <c r="T260" s="86" t="s"/>
      <c r="U260" s="86" t="s"/>
      <c r="V260" s="86" t="s"/>
      <c r="W260" s="86" t="s"/>
      <c r="X260" s="86" t="s"/>
    </row>
    <row r="261" spans="1:24" ht="22.5" customHeight="1">
      <c r="A261" s="390" t="s"/>
      <c r="B261" s="391" t="s"/>
      <c r="C261" s="392" t="s"/>
      <c r="D261" s="393" t="s"/>
      <c r="E261" s="394">
        <f>C261*10000</f>
        <v>0</v>
      </c>
      <c r="F261" s="394">
        <f>E261+E261*D261*B261/360</f>
        <v>0</v>
      </c>
      <c r="G261" s="396">
        <f>F261-E261</f>
        <v>0</v>
      </c>
      <c r="H261" s="366" t="s"/>
      <c r="I261" s="405" t="s"/>
      <c r="J261" s="406" t="s"/>
      <c r="K261" s="399" t="s"/>
      <c r="L261" s="86" t="s"/>
      <c r="M261" s="86" t="s"/>
      <c r="N261" s="86" t="s"/>
      <c r="O261" s="86" t="s"/>
      <c r="P261" s="86" t="s"/>
      <c r="Q261" s="86" t="s"/>
      <c r="R261" s="86" t="s"/>
      <c r="S261" s="86" t="s"/>
      <c r="T261" s="86" t="s"/>
      <c r="U261" s="86" t="s"/>
      <c r="V261" s="86" t="s"/>
      <c r="W261" s="86" t="s"/>
      <c r="X261" s="86" t="s"/>
    </row>
    <row r="262" spans="1:24" ht="22.5" customHeight="1">
      <c r="A262" s="390" t="s"/>
      <c r="B262" s="391" t="s"/>
      <c r="C262" s="392" t="s"/>
      <c r="D262" s="393" t="s"/>
      <c r="E262" s="394">
        <f>C262*10000</f>
        <v>0</v>
      </c>
      <c r="F262" s="394">
        <f>E262+E262*D262*B262/360</f>
        <v>0</v>
      </c>
      <c r="G262" s="396">
        <f>F262-E262</f>
        <v>0</v>
      </c>
      <c r="H262" s="366" t="s"/>
      <c r="I262" s="405" t="s"/>
      <c r="J262" s="406" t="s"/>
      <c r="K262" s="399" t="s"/>
      <c r="L262" s="86" t="s"/>
      <c r="M262" s="86" t="s"/>
      <c r="N262" s="86" t="s"/>
      <c r="O262" s="86" t="s"/>
      <c r="P262" s="86" t="s"/>
      <c r="Q262" s="86" t="s"/>
      <c r="R262" s="86" t="s"/>
      <c r="S262" s="86" t="s"/>
      <c r="T262" s="86" t="s"/>
      <c r="U262" s="86" t="s"/>
      <c r="V262" s="86" t="s"/>
      <c r="W262" s="86" t="s"/>
      <c r="X262" s="86" t="s"/>
    </row>
    <row r="263" spans="1:24" ht="22.5" customHeight="1">
      <c r="A263" s="390" t="s"/>
      <c r="B263" s="391" t="s"/>
      <c r="C263" s="392" t="s"/>
      <c r="D263" s="393" t="s"/>
      <c r="E263" s="394">
        <f>C263*10000</f>
        <v>0</v>
      </c>
      <c r="F263" s="394">
        <f>E263+E263*D263*B263/360</f>
        <v>0</v>
      </c>
      <c r="G263" s="396">
        <f>F263-E263</f>
        <v>0</v>
      </c>
      <c r="H263" s="366" t="s"/>
      <c r="I263" s="405" t="s"/>
      <c r="J263" s="406" t="s"/>
      <c r="K263" s="399" t="s"/>
      <c r="L263" s="86" t="s"/>
      <c r="M263" s="86" t="s"/>
      <c r="N263" s="86" t="s"/>
      <c r="O263" s="86" t="s"/>
      <c r="P263" s="86" t="s"/>
      <c r="Q263" s="86" t="s"/>
      <c r="R263" s="86" t="s"/>
      <c r="S263" s="86" t="s"/>
      <c r="T263" s="86" t="s"/>
      <c r="U263" s="86" t="s"/>
      <c r="V263" s="86" t="s"/>
      <c r="W263" s="86" t="s"/>
      <c r="X263" s="86" t="s"/>
    </row>
    <row r="264" spans="1:24" ht="22.5" customHeight="1">
      <c r="A264" s="390" t="s"/>
      <c r="B264" s="391" t="s"/>
      <c r="C264" s="392" t="s"/>
      <c r="D264" s="393" t="s"/>
      <c r="E264" s="394">
        <f>C264*10000</f>
        <v>0</v>
      </c>
      <c r="F264" s="394">
        <f>E264+E264*D264*B264/360</f>
        <v>0</v>
      </c>
      <c r="G264" s="396">
        <f>F264-E264</f>
        <v>0</v>
      </c>
      <c r="H264" s="366" t="s"/>
      <c r="I264" s="405" t="s"/>
      <c r="J264" s="406" t="s"/>
      <c r="K264" s="399" t="s"/>
      <c r="L264" s="86" t="s"/>
      <c r="M264" s="86" t="s"/>
      <c r="N264" s="86" t="s"/>
      <c r="O264" s="86" t="s"/>
      <c r="P264" s="86" t="s"/>
      <c r="Q264" s="86" t="s"/>
      <c r="R264" s="86" t="s"/>
      <c r="S264" s="86" t="s"/>
      <c r="T264" s="86" t="s"/>
      <c r="U264" s="86" t="s"/>
      <c r="V264" s="86" t="s"/>
      <c r="W264" s="86" t="s"/>
      <c r="X264" s="86" t="s"/>
    </row>
    <row r="265" spans="1:24" ht="22.5" customHeight="1">
      <c r="A265" s="390" t="s"/>
      <c r="B265" s="391" t="s"/>
      <c r="C265" s="392" t="s"/>
      <c r="D265" s="393" t="s"/>
      <c r="E265" s="394">
        <f>C265*10000</f>
        <v>0</v>
      </c>
      <c r="F265" s="394">
        <f>E265+E265*D265*B265/360</f>
        <v>0</v>
      </c>
      <c r="G265" s="396">
        <f>F265-E265</f>
        <v>0</v>
      </c>
      <c r="H265" s="366" t="s"/>
      <c r="I265" s="405" t="s"/>
      <c r="J265" s="406" t="s"/>
      <c r="K265" s="399" t="s"/>
      <c r="L265" s="86" t="s"/>
      <c r="M265" s="86" t="s"/>
      <c r="N265" s="86" t="s"/>
      <c r="O265" s="86" t="s"/>
      <c r="P265" s="86" t="s"/>
      <c r="Q265" s="86" t="s"/>
      <c r="R265" s="86" t="s"/>
      <c r="S265" s="86" t="s"/>
      <c r="T265" s="86" t="s"/>
      <c r="U265" s="86" t="s"/>
      <c r="V265" s="86" t="s"/>
      <c r="W265" s="86" t="s"/>
      <c r="X265" s="86" t="s"/>
    </row>
    <row r="266" spans="1:24" ht="22.5" customHeight="1">
      <c r="A266" s="390" t="s"/>
      <c r="B266" s="391" t="s"/>
      <c r="C266" s="392" t="s"/>
      <c r="D266" s="393" t="s"/>
      <c r="E266" s="394">
        <f>C266*10000</f>
        <v>0</v>
      </c>
      <c r="F266" s="394">
        <f>E266+E266*D266*B266/360</f>
        <v>0</v>
      </c>
      <c r="G266" s="396">
        <f>F266-E266</f>
        <v>0</v>
      </c>
      <c r="H266" s="366" t="s"/>
      <c r="I266" s="405" t="s"/>
      <c r="J266" s="406" t="s"/>
      <c r="K266" s="399" t="s"/>
      <c r="L266" s="86" t="s"/>
      <c r="M266" s="86" t="s"/>
      <c r="N266" s="86" t="s"/>
      <c r="O266" s="86" t="s"/>
      <c r="P266" s="86" t="s"/>
      <c r="Q266" s="86" t="s"/>
      <c r="R266" s="86" t="s"/>
      <c r="S266" s="86" t="s"/>
      <c r="T266" s="86" t="s"/>
      <c r="U266" s="86" t="s"/>
      <c r="V266" s="86" t="s"/>
      <c r="W266" s="86" t="s"/>
      <c r="X266" s="86" t="s"/>
    </row>
    <row r="267" spans="1:24" ht="22.5" customHeight="1">
      <c r="A267" s="390" t="s"/>
      <c r="B267" s="391" t="s"/>
      <c r="C267" s="392" t="s"/>
      <c r="D267" s="393" t="s"/>
      <c r="E267" s="394">
        <f>C267*10000</f>
        <v>0</v>
      </c>
      <c r="F267" s="394">
        <f>E267+E267*D267*B267/360</f>
        <v>0</v>
      </c>
      <c r="G267" s="396">
        <f>F267-E267</f>
        <v>0</v>
      </c>
      <c r="H267" s="366" t="s"/>
      <c r="I267" s="405" t="s"/>
      <c r="J267" s="406" t="s"/>
      <c r="K267" s="399" t="s"/>
      <c r="L267" s="86" t="s"/>
      <c r="M267" s="86" t="s"/>
      <c r="N267" s="86" t="s"/>
      <c r="O267" s="86" t="s"/>
      <c r="P267" s="86" t="s"/>
      <c r="Q267" s="86" t="s"/>
      <c r="R267" s="86" t="s"/>
      <c r="S267" s="86" t="s"/>
      <c r="T267" s="86" t="s"/>
      <c r="U267" s="86" t="s"/>
      <c r="V267" s="86" t="s"/>
      <c r="W267" s="86" t="s"/>
      <c r="X267" s="86" t="s"/>
    </row>
    <row r="268" spans="1:24" ht="22.5" customHeight="1">
      <c r="A268" s="390" t="s"/>
      <c r="B268" s="391" t="s"/>
      <c r="C268" s="392" t="s"/>
      <c r="D268" s="393" t="s"/>
      <c r="E268" s="394">
        <f>C268*10000</f>
        <v>0</v>
      </c>
      <c r="F268" s="394">
        <f>E268+E268*D268*B268/360</f>
        <v>0</v>
      </c>
      <c r="G268" s="396">
        <f>F268-E268</f>
        <v>0</v>
      </c>
      <c r="H268" s="366" t="s"/>
      <c r="I268" s="405" t="s"/>
      <c r="J268" s="406" t="s"/>
      <c r="K268" s="399" t="s"/>
      <c r="L268" s="86" t="s"/>
      <c r="M268" s="86" t="s"/>
      <c r="N268" s="86" t="s"/>
      <c r="O268" s="86" t="s"/>
      <c r="P268" s="86" t="s"/>
      <c r="Q268" s="86" t="s"/>
      <c r="R268" s="86" t="s"/>
      <c r="S268" s="86" t="s"/>
      <c r="T268" s="86" t="s"/>
      <c r="U268" s="86" t="s"/>
      <c r="V268" s="86" t="s"/>
      <c r="W268" s="86" t="s"/>
      <c r="X268" s="86" t="s"/>
    </row>
    <row r="269" spans="1:24" ht="22.5" customHeight="1">
      <c r="A269" s="390" t="s"/>
      <c r="B269" s="391" t="s"/>
      <c r="C269" s="392" t="s"/>
      <c r="D269" s="393" t="s"/>
      <c r="E269" s="394">
        <f>C269*10000</f>
        <v>0</v>
      </c>
      <c r="F269" s="394">
        <f>E269+E269*D269*B269/360</f>
        <v>0</v>
      </c>
      <c r="G269" s="396">
        <f>F269-E269</f>
        <v>0</v>
      </c>
      <c r="H269" s="366" t="s"/>
      <c r="I269" s="405" t="s"/>
      <c r="J269" s="406" t="s"/>
      <c r="K269" s="399" t="s"/>
      <c r="L269" s="86" t="s"/>
      <c r="M269" s="86" t="s"/>
      <c r="N269" s="86" t="s"/>
      <c r="O269" s="86" t="s"/>
      <c r="P269" s="86" t="s"/>
      <c r="Q269" s="86" t="s"/>
      <c r="R269" s="86" t="s"/>
      <c r="S269" s="86" t="s"/>
      <c r="T269" s="86" t="s"/>
      <c r="U269" s="86" t="s"/>
      <c r="V269" s="86" t="s"/>
      <c r="W269" s="86" t="s"/>
      <c r="X269" s="86" t="s"/>
    </row>
    <row r="270" spans="1:24" ht="22.5" customHeight="1">
      <c r="A270" s="390" t="s"/>
      <c r="B270" s="391" t="s"/>
      <c r="C270" s="392" t="s"/>
      <c r="D270" s="393" t="s"/>
      <c r="E270" s="394">
        <f>C270*10000</f>
        <v>0</v>
      </c>
      <c r="F270" s="394">
        <f>E270+E270*D270*B270/360</f>
        <v>0</v>
      </c>
      <c r="G270" s="396">
        <f>F270-E270</f>
        <v>0</v>
      </c>
      <c r="H270" s="366" t="s"/>
      <c r="I270" s="405" t="s"/>
      <c r="J270" s="406" t="s"/>
      <c r="K270" s="399" t="s"/>
      <c r="L270" s="86" t="s"/>
      <c r="M270" s="86" t="s"/>
      <c r="N270" s="86" t="s"/>
      <c r="O270" s="86" t="s"/>
      <c r="P270" s="86" t="s"/>
      <c r="Q270" s="86" t="s"/>
      <c r="R270" s="86" t="s"/>
      <c r="S270" s="86" t="s"/>
      <c r="T270" s="86" t="s"/>
      <c r="U270" s="86" t="s"/>
      <c r="V270" s="86" t="s"/>
      <c r="W270" s="86" t="s"/>
      <c r="X270" s="86" t="s"/>
    </row>
    <row r="271" spans="1:24" ht="22.5" customHeight="1">
      <c r="A271" s="390" t="s"/>
      <c r="B271" s="391" t="s"/>
      <c r="C271" s="392" t="s"/>
      <c r="D271" s="393" t="s"/>
      <c r="E271" s="394">
        <f>C271*10000</f>
        <v>0</v>
      </c>
      <c r="F271" s="394">
        <f>E271+E271*D271*B271/360</f>
        <v>0</v>
      </c>
      <c r="G271" s="396">
        <f>F271-E271</f>
        <v>0</v>
      </c>
      <c r="H271" s="366" t="s"/>
      <c r="I271" s="405" t="s"/>
      <c r="J271" s="406" t="s"/>
      <c r="K271" s="399" t="s"/>
      <c r="L271" s="86" t="s"/>
      <c r="M271" s="86" t="s"/>
      <c r="N271" s="86" t="s"/>
      <c r="O271" s="86" t="s"/>
      <c r="P271" s="86" t="s"/>
      <c r="Q271" s="86" t="s"/>
      <c r="R271" s="86" t="s"/>
      <c r="S271" s="86" t="s"/>
      <c r="T271" s="86" t="s"/>
      <c r="U271" s="86" t="s"/>
      <c r="V271" s="86" t="s"/>
      <c r="W271" s="86" t="s"/>
      <c r="X271" s="86" t="s"/>
    </row>
    <row r="272" spans="1:24" ht="22.5" customHeight="1">
      <c r="A272" s="390" t="s"/>
      <c r="B272" s="391" t="s"/>
      <c r="C272" s="392" t="s"/>
      <c r="D272" s="393" t="s"/>
      <c r="E272" s="394">
        <f>C272*10000</f>
        <v>0</v>
      </c>
      <c r="F272" s="394">
        <f>E272+E272*D272*B272/360</f>
        <v>0</v>
      </c>
      <c r="G272" s="396">
        <f>F272-E272</f>
        <v>0</v>
      </c>
      <c r="H272" s="366" t="s"/>
      <c r="I272" s="405" t="s"/>
      <c r="J272" s="406" t="s"/>
      <c r="K272" s="399" t="s"/>
      <c r="L272" s="86" t="s"/>
      <c r="M272" s="86" t="s"/>
      <c r="N272" s="86" t="s"/>
      <c r="O272" s="86" t="s"/>
      <c r="P272" s="86" t="s"/>
      <c r="Q272" s="86" t="s"/>
      <c r="R272" s="86" t="s"/>
      <c r="S272" s="86" t="s"/>
      <c r="T272" s="86" t="s"/>
      <c r="U272" s="86" t="s"/>
      <c r="V272" s="86" t="s"/>
      <c r="W272" s="86" t="s"/>
      <c r="X272" s="86" t="s"/>
    </row>
    <row r="273" spans="1:24" ht="22.5" customHeight="1">
      <c r="A273" s="390" t="s"/>
      <c r="B273" s="391" t="s"/>
      <c r="C273" s="392" t="s"/>
      <c r="D273" s="393" t="s"/>
      <c r="E273" s="394">
        <f>C273*10000</f>
        <v>0</v>
      </c>
      <c r="F273" s="394">
        <f>E273+E273*D273*B273/360</f>
        <v>0</v>
      </c>
      <c r="G273" s="396">
        <f>F273-E273</f>
        <v>0</v>
      </c>
      <c r="H273" s="366" t="s"/>
      <c r="I273" s="405" t="s"/>
      <c r="J273" s="406" t="s"/>
      <c r="K273" s="399" t="s"/>
      <c r="L273" s="86" t="s"/>
      <c r="M273" s="86" t="s"/>
      <c r="N273" s="86" t="s"/>
      <c r="O273" s="86" t="s"/>
      <c r="P273" s="86" t="s"/>
      <c r="Q273" s="86" t="s"/>
      <c r="R273" s="86" t="s"/>
      <c r="S273" s="86" t="s"/>
      <c r="T273" s="86" t="s"/>
      <c r="U273" s="86" t="s"/>
      <c r="V273" s="86" t="s"/>
      <c r="W273" s="86" t="s"/>
      <c r="X273" s="86" t="s"/>
    </row>
    <row r="274" spans="1:24" ht="22.5" customHeight="1">
      <c r="A274" s="390" t="s"/>
      <c r="B274" s="391" t="s"/>
      <c r="C274" s="392" t="s"/>
      <c r="D274" s="393" t="s"/>
      <c r="E274" s="394">
        <f>C274*10000</f>
        <v>0</v>
      </c>
      <c r="F274" s="394">
        <f>E274+E274*D274*B274/360</f>
        <v>0</v>
      </c>
      <c r="G274" s="396">
        <f>F274-E274</f>
        <v>0</v>
      </c>
      <c r="H274" s="366" t="s"/>
      <c r="I274" s="405" t="s"/>
      <c r="J274" s="406" t="s"/>
      <c r="K274" s="399" t="s"/>
      <c r="L274" s="86" t="s"/>
      <c r="M274" s="86" t="s"/>
      <c r="N274" s="86" t="s"/>
      <c r="O274" s="86" t="s"/>
      <c r="P274" s="86" t="s"/>
      <c r="Q274" s="86" t="s"/>
      <c r="R274" s="86" t="s"/>
      <c r="S274" s="86" t="s"/>
      <c r="T274" s="86" t="s"/>
      <c r="U274" s="86" t="s"/>
      <c r="V274" s="86" t="s"/>
      <c r="W274" s="86" t="s"/>
      <c r="X274" s="86" t="s"/>
    </row>
    <row r="275" spans="1:24" ht="22.5" customHeight="1">
      <c r="A275" s="390" t="s"/>
      <c r="B275" s="391" t="s"/>
      <c r="C275" s="392" t="s"/>
      <c r="D275" s="393" t="s"/>
      <c r="E275" s="394">
        <f>C275*10000</f>
        <v>0</v>
      </c>
      <c r="F275" s="394">
        <f>E275+E275*D275*B275/360</f>
        <v>0</v>
      </c>
      <c r="G275" s="396">
        <f>F275-E275</f>
        <v>0</v>
      </c>
      <c r="H275" s="366" t="s"/>
      <c r="I275" s="405" t="s"/>
      <c r="J275" s="406" t="s"/>
      <c r="K275" s="399" t="s"/>
      <c r="L275" s="86" t="s"/>
      <c r="M275" s="86" t="s"/>
      <c r="N275" s="86" t="s"/>
      <c r="O275" s="86" t="s"/>
      <c r="P275" s="86" t="s"/>
      <c r="Q275" s="86" t="s"/>
      <c r="R275" s="86" t="s"/>
      <c r="S275" s="86" t="s"/>
      <c r="T275" s="86" t="s"/>
      <c r="U275" s="86" t="s"/>
      <c r="V275" s="86" t="s"/>
      <c r="W275" s="86" t="s"/>
      <c r="X275" s="86" t="s"/>
    </row>
    <row r="276" spans="1:24" ht="22.5" customHeight="1">
      <c r="A276" s="390" t="s"/>
      <c r="B276" s="391" t="s"/>
      <c r="C276" s="392" t="s"/>
      <c r="D276" s="393" t="s"/>
      <c r="E276" s="394">
        <f>C276*10000</f>
        <v>0</v>
      </c>
      <c r="F276" s="394">
        <f>E276+E276*D276*B276/360</f>
        <v>0</v>
      </c>
      <c r="G276" s="396">
        <f>F276-E276</f>
        <v>0</v>
      </c>
      <c r="H276" s="366" t="s"/>
      <c r="I276" s="405" t="s"/>
      <c r="J276" s="406" t="s"/>
      <c r="K276" s="399" t="s"/>
      <c r="L276" s="86" t="s"/>
      <c r="M276" s="86" t="s"/>
      <c r="N276" s="86" t="s"/>
      <c r="O276" s="86" t="s"/>
      <c r="P276" s="86" t="s"/>
      <c r="Q276" s="86" t="s"/>
      <c r="R276" s="86" t="s"/>
      <c r="S276" s="86" t="s"/>
      <c r="T276" s="86" t="s"/>
      <c r="U276" s="86" t="s"/>
      <c r="V276" s="86" t="s"/>
      <c r="W276" s="86" t="s"/>
      <c r="X276" s="86" t="s"/>
    </row>
    <row r="277" spans="1:24" ht="22.5" customHeight="1">
      <c r="A277" s="408" t="s"/>
      <c r="B277" s="409" t="s"/>
      <c r="C277" s="221" t="s"/>
      <c r="D277" s="405" t="s"/>
      <c r="E277" s="366" t="s"/>
      <c r="F277" s="366" t="s"/>
      <c r="G277" s="410" t="s"/>
      <c r="H277" s="366" t="s"/>
      <c r="I277" s="405" t="s"/>
      <c r="J277" s="406" t="s"/>
      <c r="K277" s="399" t="s"/>
      <c r="L277" s="86" t="s"/>
      <c r="M277" s="86" t="s"/>
      <c r="N277" s="86" t="s"/>
      <c r="O277" s="86" t="s"/>
      <c r="P277" s="86" t="s"/>
      <c r="Q277" s="86" t="s"/>
      <c r="R277" s="86" t="s"/>
      <c r="S277" s="86" t="s"/>
      <c r="T277" s="86" t="s"/>
      <c r="U277" s="86" t="s"/>
      <c r="V277" s="86" t="s"/>
      <c r="W277" s="86" t="s"/>
      <c r="X277" s="86" t="s"/>
    </row>
    <row r="278" spans="1:24" ht="22.5" customHeight="1">
      <c r="A278" s="408" t="s"/>
      <c r="B278" s="409" t="s"/>
      <c r="C278" s="221" t="s"/>
      <c r="D278" s="405" t="s"/>
      <c r="E278" s="366" t="s"/>
      <c r="F278" s="366" t="s"/>
      <c r="G278" s="410" t="s"/>
      <c r="H278" s="366" t="s"/>
      <c r="I278" s="405" t="s"/>
      <c r="J278" s="406" t="s"/>
      <c r="K278" s="399" t="s"/>
      <c r="L278" s="86" t="s"/>
      <c r="M278" s="86" t="s"/>
      <c r="N278" s="86" t="s"/>
      <c r="O278" s="86" t="s"/>
      <c r="P278" s="86" t="s"/>
      <c r="Q278" s="86" t="s"/>
      <c r="R278" s="86" t="s"/>
      <c r="S278" s="86" t="s"/>
      <c r="T278" s="86" t="s"/>
      <c r="U278" s="86" t="s"/>
      <c r="V278" s="86" t="s"/>
      <c r="W278" s="86" t="s"/>
      <c r="X278" s="86" t="s"/>
    </row>
    <row r="279" spans="1:24" ht="22.5" customHeight="1">
      <c r="A279" s="408" t="s"/>
      <c r="B279" s="409" t="s"/>
      <c r="C279" s="221" t="s"/>
      <c r="D279" s="405" t="s"/>
      <c r="E279" s="366" t="s"/>
      <c r="F279" s="366" t="s"/>
      <c r="G279" s="410" t="s"/>
      <c r="H279" s="366" t="s"/>
      <c r="I279" s="405" t="s"/>
      <c r="J279" s="406" t="s"/>
      <c r="K279" s="399" t="s"/>
      <c r="L279" s="86" t="s"/>
      <c r="M279" s="86" t="s"/>
      <c r="N279" s="86" t="s"/>
      <c r="O279" s="86" t="s"/>
      <c r="P279" s="86" t="s"/>
      <c r="Q279" s="86" t="s"/>
      <c r="R279" s="86" t="s"/>
      <c r="S279" s="86" t="s"/>
      <c r="T279" s="86" t="s"/>
      <c r="U279" s="86" t="s"/>
      <c r="V279" s="86" t="s"/>
      <c r="W279" s="86" t="s"/>
      <c r="X279" s="86" t="s"/>
    </row>
    <row r="280" spans="1:24" ht="22.5" customHeight="1">
      <c r="A280" s="408" t="s"/>
      <c r="B280" s="409" t="s"/>
      <c r="C280" s="221" t="s"/>
      <c r="D280" s="405" t="s"/>
      <c r="E280" s="366" t="s"/>
      <c r="F280" s="366" t="s"/>
      <c r="G280" s="410" t="s"/>
      <c r="H280" s="366" t="s"/>
      <c r="I280" s="405" t="s"/>
      <c r="J280" s="406" t="s"/>
      <c r="K280" s="399" t="s"/>
      <c r="L280" s="86" t="s"/>
      <c r="M280" s="86" t="s"/>
      <c r="N280" s="86" t="s"/>
      <c r="O280" s="86" t="s"/>
      <c r="P280" s="86" t="s"/>
      <c r="Q280" s="86" t="s"/>
      <c r="R280" s="86" t="s"/>
      <c r="S280" s="86" t="s"/>
      <c r="T280" s="86" t="s"/>
      <c r="U280" s="86" t="s"/>
      <c r="V280" s="86" t="s"/>
      <c r="W280" s="86" t="s"/>
      <c r="X280" s="86" t="s"/>
    </row>
    <row r="281" spans="1:24" ht="22.5" customHeight="1">
      <c r="A281" s="408" t="s"/>
      <c r="B281" s="409" t="s"/>
      <c r="C281" s="221" t="s"/>
      <c r="D281" s="405" t="s"/>
      <c r="E281" s="366" t="s"/>
      <c r="F281" s="366" t="s"/>
      <c r="G281" s="410" t="s"/>
      <c r="H281" s="366" t="s"/>
      <c r="I281" s="405" t="s"/>
      <c r="J281" s="406" t="s"/>
      <c r="K281" s="399" t="s"/>
      <c r="L281" s="86" t="s"/>
      <c r="M281" s="86" t="s"/>
      <c r="N281" s="86" t="s"/>
      <c r="O281" s="86" t="s"/>
      <c r="P281" s="86" t="s"/>
      <c r="Q281" s="86" t="s"/>
      <c r="R281" s="86" t="s"/>
      <c r="S281" s="86" t="s"/>
      <c r="T281" s="86" t="s"/>
      <c r="U281" s="86" t="s"/>
      <c r="V281" s="86" t="s"/>
      <c r="W281" s="86" t="s"/>
      <c r="X281" s="86" t="s"/>
    </row>
    <row r="282" spans="1:24" ht="22.5" customHeight="1">
      <c r="A282" s="408" t="s"/>
      <c r="B282" s="409" t="s"/>
      <c r="C282" s="221" t="s"/>
      <c r="D282" s="405" t="s"/>
      <c r="E282" s="366" t="s"/>
      <c r="F282" s="366" t="s"/>
      <c r="G282" s="410" t="s"/>
      <c r="H282" s="366" t="s"/>
      <c r="I282" s="405" t="s"/>
      <c r="J282" s="406" t="s"/>
      <c r="K282" s="399" t="s"/>
      <c r="L282" s="86" t="s"/>
      <c r="M282" s="86" t="s"/>
      <c r="N282" s="86" t="s"/>
      <c r="O282" s="86" t="s"/>
      <c r="P282" s="86" t="s"/>
      <c r="Q282" s="86" t="s"/>
      <c r="R282" s="86" t="s"/>
      <c r="S282" s="86" t="s"/>
      <c r="T282" s="86" t="s"/>
      <c r="U282" s="86" t="s"/>
      <c r="V282" s="86" t="s"/>
      <c r="W282" s="86" t="s"/>
      <c r="X282" s="86" t="s"/>
    </row>
    <row r="283" spans="1:24" ht="22.5" customHeight="1">
      <c r="A283" s="408" t="s"/>
      <c r="B283" s="409" t="s"/>
      <c r="C283" s="221" t="s"/>
      <c r="D283" s="405" t="s"/>
      <c r="E283" s="366" t="s"/>
      <c r="F283" s="366" t="s"/>
      <c r="G283" s="410" t="s"/>
      <c r="H283" s="366" t="s"/>
      <c r="I283" s="405" t="s"/>
      <c r="J283" s="406" t="s"/>
      <c r="K283" s="399" t="s"/>
      <c r="L283" s="86" t="s"/>
      <c r="M283" s="86" t="s"/>
      <c r="N283" s="86" t="s"/>
      <c r="O283" s="86" t="s"/>
      <c r="P283" s="86" t="s"/>
      <c r="Q283" s="86" t="s"/>
      <c r="R283" s="86" t="s"/>
      <c r="S283" s="86" t="s"/>
      <c r="T283" s="86" t="s"/>
      <c r="U283" s="86" t="s"/>
      <c r="V283" s="86" t="s"/>
      <c r="W283" s="86" t="s"/>
      <c r="X283" s="86" t="s"/>
    </row>
    <row r="284" spans="1:24" ht="22.5" customHeight="1">
      <c r="A284" s="408" t="s"/>
      <c r="B284" s="409" t="s"/>
      <c r="C284" s="221" t="s"/>
      <c r="D284" s="405" t="s"/>
      <c r="E284" s="366" t="s"/>
      <c r="F284" s="366" t="s"/>
      <c r="G284" s="410" t="s"/>
      <c r="H284" s="366" t="s"/>
      <c r="I284" s="405" t="s"/>
      <c r="J284" s="406" t="s"/>
      <c r="K284" s="399" t="s"/>
      <c r="L284" s="86" t="s"/>
      <c r="M284" s="86" t="s"/>
      <c r="N284" s="86" t="s"/>
      <c r="O284" s="86" t="s"/>
      <c r="P284" s="86" t="s"/>
      <c r="Q284" s="86" t="s"/>
      <c r="R284" s="86" t="s"/>
      <c r="S284" s="86" t="s"/>
      <c r="T284" s="86" t="s"/>
      <c r="U284" s="86" t="s"/>
      <c r="V284" s="86" t="s"/>
      <c r="W284" s="86" t="s"/>
      <c r="X284" s="86" t="s"/>
    </row>
    <row r="285" spans="1:24" ht="22.5" customHeight="1">
      <c r="A285" s="408" t="s"/>
      <c r="B285" s="409" t="s"/>
      <c r="C285" s="221" t="s"/>
      <c r="D285" s="405" t="s"/>
      <c r="E285" s="366" t="s"/>
      <c r="F285" s="366" t="s"/>
      <c r="G285" s="410" t="s"/>
      <c r="H285" s="366" t="s"/>
      <c r="I285" s="405" t="s"/>
      <c r="J285" s="406" t="s"/>
      <c r="K285" s="399" t="s"/>
      <c r="L285" s="86" t="s"/>
      <c r="M285" s="86" t="s"/>
      <c r="N285" s="86" t="s"/>
      <c r="O285" s="86" t="s"/>
      <c r="P285" s="86" t="s"/>
      <c r="Q285" s="86" t="s"/>
      <c r="R285" s="86" t="s"/>
      <c r="S285" s="86" t="s"/>
      <c r="T285" s="86" t="s"/>
      <c r="U285" s="86" t="s"/>
      <c r="V285" s="86" t="s"/>
      <c r="W285" s="86" t="s"/>
      <c r="X285" s="86" t="s"/>
    </row>
    <row r="286" spans="1:24" ht="22.5" customHeight="1">
      <c r="A286" s="408" t="s"/>
      <c r="B286" s="409" t="s"/>
      <c r="C286" s="221" t="s"/>
      <c r="D286" s="405" t="s"/>
      <c r="E286" s="366" t="s"/>
      <c r="F286" s="366" t="s"/>
      <c r="G286" s="410" t="s"/>
      <c r="H286" s="366" t="s"/>
      <c r="I286" s="405" t="s"/>
      <c r="J286" s="406" t="s"/>
      <c r="K286" s="399" t="s"/>
      <c r="L286" s="86" t="s"/>
      <c r="M286" s="86" t="s"/>
      <c r="N286" s="86" t="s"/>
      <c r="O286" s="86" t="s"/>
      <c r="P286" s="86" t="s"/>
      <c r="Q286" s="86" t="s"/>
      <c r="R286" s="86" t="s"/>
      <c r="S286" s="86" t="s"/>
      <c r="T286" s="86" t="s"/>
      <c r="U286" s="86" t="s"/>
      <c r="V286" s="86" t="s"/>
      <c r="W286" s="86" t="s"/>
      <c r="X286" s="86" t="s"/>
    </row>
    <row r="287" spans="1:24" ht="22.5" customHeight="1">
      <c r="A287" s="408" t="s"/>
      <c r="B287" s="409" t="s"/>
      <c r="C287" s="221" t="s"/>
      <c r="D287" s="405" t="s"/>
      <c r="E287" s="366" t="s"/>
      <c r="F287" s="366" t="s"/>
      <c r="G287" s="410" t="s"/>
      <c r="H287" s="366" t="s"/>
      <c r="I287" s="405" t="s"/>
      <c r="J287" s="406" t="s"/>
      <c r="K287" s="399" t="s"/>
      <c r="L287" s="86" t="s"/>
      <c r="M287" s="86" t="s"/>
      <c r="N287" s="86" t="s"/>
      <c r="O287" s="86" t="s"/>
      <c r="P287" s="86" t="s"/>
      <c r="Q287" s="86" t="s"/>
      <c r="R287" s="86" t="s"/>
      <c r="S287" s="86" t="s"/>
      <c r="T287" s="86" t="s"/>
      <c r="U287" s="86" t="s"/>
      <c r="V287" s="86" t="s"/>
      <c r="W287" s="86" t="s"/>
      <c r="X287" s="86" t="s"/>
    </row>
    <row r="288" spans="1:24" ht="22.5" customHeight="1">
      <c r="A288" s="408" t="s"/>
      <c r="B288" s="409" t="s"/>
      <c r="C288" s="221" t="s"/>
      <c r="D288" s="405" t="s"/>
      <c r="E288" s="366" t="s"/>
      <c r="F288" s="366" t="s"/>
      <c r="G288" s="410" t="s"/>
      <c r="H288" s="366" t="s"/>
      <c r="I288" s="405" t="s"/>
      <c r="J288" s="406" t="s"/>
      <c r="K288" s="399" t="s"/>
      <c r="L288" s="86" t="s"/>
      <c r="M288" s="86" t="s"/>
      <c r="N288" s="86" t="s"/>
      <c r="O288" s="86" t="s"/>
      <c r="P288" s="86" t="s"/>
      <c r="Q288" s="86" t="s"/>
      <c r="R288" s="86" t="s"/>
      <c r="S288" s="86" t="s"/>
      <c r="T288" s="86" t="s"/>
      <c r="U288" s="86" t="s"/>
      <c r="V288" s="86" t="s"/>
      <c r="W288" s="86" t="s"/>
      <c r="X288" s="86" t="s"/>
    </row>
    <row r="289" spans="1:24" ht="22.5" customHeight="1">
      <c r="A289" s="408" t="s"/>
      <c r="B289" s="409" t="s"/>
      <c r="C289" s="221" t="s"/>
      <c r="D289" s="405" t="s"/>
      <c r="E289" s="366" t="s"/>
      <c r="F289" s="366" t="s"/>
      <c r="G289" s="410" t="s"/>
      <c r="H289" s="366" t="s"/>
      <c r="I289" s="405" t="s"/>
      <c r="J289" s="406" t="s"/>
      <c r="K289" s="399" t="s"/>
      <c r="L289" s="86" t="s"/>
      <c r="M289" s="86" t="s"/>
      <c r="N289" s="86" t="s"/>
      <c r="O289" s="86" t="s"/>
      <c r="P289" s="86" t="s"/>
      <c r="Q289" s="86" t="s"/>
      <c r="R289" s="86" t="s"/>
      <c r="S289" s="86" t="s"/>
      <c r="T289" s="86" t="s"/>
      <c r="U289" s="86" t="s"/>
      <c r="V289" s="86" t="s"/>
      <c r="W289" s="86" t="s"/>
      <c r="X289" s="86" t="s"/>
    </row>
    <row r="290" spans="1:24" ht="22.5" customHeight="1">
      <c r="A290" s="408" t="s"/>
      <c r="B290" s="409" t="s"/>
      <c r="C290" s="221" t="s"/>
      <c r="D290" s="405" t="s"/>
      <c r="E290" s="366" t="s"/>
      <c r="F290" s="366" t="s"/>
      <c r="G290" s="410" t="s"/>
      <c r="H290" s="366" t="s"/>
      <c r="I290" s="405" t="s"/>
      <c r="J290" s="406" t="s"/>
      <c r="K290" s="399" t="s"/>
      <c r="L290" s="86" t="s"/>
      <c r="M290" s="86" t="s"/>
      <c r="N290" s="86" t="s"/>
      <c r="O290" s="86" t="s"/>
      <c r="P290" s="86" t="s"/>
      <c r="Q290" s="86" t="s"/>
      <c r="R290" s="86" t="s"/>
      <c r="S290" s="86" t="s"/>
      <c r="T290" s="86" t="s"/>
      <c r="U290" s="86" t="s"/>
      <c r="V290" s="86" t="s"/>
      <c r="W290" s="86" t="s"/>
      <c r="X290" s="86" t="s"/>
    </row>
    <row r="291" spans="1:24" ht="22.5" customHeight="1">
      <c r="A291" s="408" t="s"/>
      <c r="B291" s="409" t="s"/>
      <c r="C291" s="221" t="s"/>
      <c r="D291" s="405" t="s"/>
      <c r="E291" s="366" t="s"/>
      <c r="F291" s="366" t="s"/>
      <c r="G291" s="410" t="s"/>
      <c r="H291" s="366" t="s"/>
      <c r="I291" s="405" t="s"/>
      <c r="J291" s="406" t="s"/>
      <c r="K291" s="399" t="s"/>
      <c r="L291" s="86" t="s"/>
      <c r="M291" s="86" t="s"/>
      <c r="N291" s="86" t="s"/>
      <c r="O291" s="86" t="s"/>
      <c r="P291" s="86" t="s"/>
      <c r="Q291" s="86" t="s"/>
      <c r="R291" s="86" t="s"/>
      <c r="S291" s="86" t="s"/>
      <c r="T291" s="86" t="s"/>
      <c r="U291" s="86" t="s"/>
      <c r="V291" s="86" t="s"/>
      <c r="W291" s="86" t="s"/>
      <c r="X291" s="86" t="s"/>
    </row>
    <row r="292" spans="1:24" ht="22.5" customHeight="1">
      <c r="A292" s="408" t="s"/>
      <c r="B292" s="409" t="s"/>
      <c r="C292" s="221" t="s"/>
      <c r="D292" s="405" t="s"/>
      <c r="E292" s="366" t="s"/>
      <c r="F292" s="366" t="s"/>
      <c r="G292" s="410" t="s"/>
      <c r="H292" s="366" t="s"/>
      <c r="I292" s="405" t="s"/>
      <c r="J292" s="406" t="s"/>
      <c r="K292" s="399" t="s"/>
      <c r="L292" s="86" t="s"/>
      <c r="M292" s="86" t="s"/>
      <c r="N292" s="86" t="s"/>
      <c r="O292" s="86" t="s"/>
      <c r="P292" s="86" t="s"/>
      <c r="Q292" s="86" t="s"/>
      <c r="R292" s="86" t="s"/>
      <c r="S292" s="86" t="s"/>
      <c r="T292" s="86" t="s"/>
      <c r="U292" s="86" t="s"/>
      <c r="V292" s="86" t="s"/>
      <c r="W292" s="86" t="s"/>
      <c r="X292" s="86" t="s"/>
    </row>
    <row r="293" spans="1:24" ht="22.5" customHeight="1">
      <c r="A293" s="408" t="s"/>
      <c r="B293" s="409" t="s"/>
      <c r="C293" s="221" t="s"/>
      <c r="D293" s="405" t="s"/>
      <c r="E293" s="366" t="s"/>
      <c r="F293" s="366" t="s"/>
      <c r="G293" s="410" t="s"/>
      <c r="H293" s="366" t="s"/>
      <c r="I293" s="405" t="s"/>
      <c r="J293" s="406" t="s"/>
      <c r="K293" s="399" t="s"/>
      <c r="L293" s="86" t="s"/>
      <c r="M293" s="86" t="s"/>
      <c r="N293" s="86" t="s"/>
      <c r="O293" s="86" t="s"/>
      <c r="P293" s="86" t="s"/>
      <c r="Q293" s="86" t="s"/>
      <c r="R293" s="86" t="s"/>
      <c r="S293" s="86" t="s"/>
      <c r="T293" s="86" t="s"/>
      <c r="U293" s="86" t="s"/>
      <c r="V293" s="86" t="s"/>
      <c r="W293" s="86" t="s"/>
      <c r="X293" s="86" t="s"/>
    </row>
    <row r="294" spans="1:24" ht="22.5" customHeight="1">
      <c r="A294" s="408" t="s"/>
      <c r="B294" s="409" t="s"/>
      <c r="C294" s="221" t="s"/>
      <c r="D294" s="405" t="s"/>
      <c r="E294" s="366" t="s"/>
      <c r="F294" s="366" t="s"/>
      <c r="G294" s="410" t="s"/>
      <c r="H294" s="366" t="s"/>
      <c r="I294" s="405" t="s"/>
      <c r="J294" s="406" t="s"/>
      <c r="K294" s="399" t="s"/>
      <c r="L294" s="86" t="s"/>
      <c r="M294" s="86" t="s"/>
      <c r="N294" s="86" t="s"/>
      <c r="O294" s="86" t="s"/>
      <c r="P294" s="86" t="s"/>
      <c r="Q294" s="86" t="s"/>
      <c r="R294" s="86" t="s"/>
      <c r="S294" s="86" t="s"/>
      <c r="T294" s="86" t="s"/>
      <c r="U294" s="86" t="s"/>
      <c r="V294" s="86" t="s"/>
      <c r="W294" s="86" t="s"/>
      <c r="X294" s="86" t="s"/>
    </row>
    <row r="295" spans="1:24" ht="22.5" customHeight="1">
      <c r="A295" s="408" t="s"/>
      <c r="B295" s="409" t="s"/>
      <c r="C295" s="221" t="s"/>
      <c r="D295" s="405" t="s"/>
      <c r="E295" s="366" t="s"/>
      <c r="F295" s="366" t="s"/>
      <c r="G295" s="410" t="s"/>
      <c r="H295" s="366" t="s"/>
      <c r="I295" s="405" t="s"/>
      <c r="J295" s="406" t="s"/>
      <c r="K295" s="399" t="s"/>
      <c r="L295" s="86" t="s"/>
      <c r="M295" s="86" t="s"/>
      <c r="N295" s="86" t="s"/>
      <c r="O295" s="86" t="s"/>
      <c r="P295" s="86" t="s"/>
      <c r="Q295" s="86" t="s"/>
      <c r="R295" s="86" t="s"/>
      <c r="S295" s="86" t="s"/>
      <c r="T295" s="86" t="s"/>
      <c r="U295" s="86" t="s"/>
      <c r="V295" s="86" t="s"/>
      <c r="W295" s="86" t="s"/>
      <c r="X295" s="86" t="s"/>
    </row>
    <row r="296" spans="1:24" ht="22.5" customHeight="1">
      <c r="A296" s="408" t="s"/>
      <c r="B296" s="409" t="s"/>
      <c r="C296" s="221" t="s"/>
      <c r="D296" s="405" t="s"/>
      <c r="E296" s="366" t="s"/>
      <c r="F296" s="366" t="s"/>
      <c r="G296" s="410" t="s"/>
      <c r="H296" s="366" t="s"/>
      <c r="I296" s="405" t="s"/>
      <c r="J296" s="406" t="s"/>
      <c r="K296" s="399" t="s"/>
      <c r="L296" s="86" t="s"/>
      <c r="M296" s="86" t="s"/>
      <c r="N296" s="86" t="s"/>
      <c r="O296" s="86" t="s"/>
      <c r="P296" s="86" t="s"/>
      <c r="Q296" s="86" t="s"/>
      <c r="R296" s="86" t="s"/>
      <c r="S296" s="86" t="s"/>
      <c r="T296" s="86" t="s"/>
      <c r="U296" s="86" t="s"/>
      <c r="V296" s="86" t="s"/>
      <c r="W296" s="86" t="s"/>
      <c r="X296" s="86" t="s"/>
    </row>
    <row r="297" spans="1:24" ht="22.5" customHeight="1">
      <c r="A297" s="408" t="s"/>
      <c r="B297" s="409" t="s"/>
      <c r="C297" s="221" t="s"/>
      <c r="D297" s="405" t="s"/>
      <c r="E297" s="366" t="s"/>
      <c r="F297" s="366" t="s"/>
      <c r="G297" s="410" t="s"/>
      <c r="H297" s="366" t="s"/>
      <c r="I297" s="405" t="s"/>
      <c r="J297" s="406" t="s"/>
      <c r="K297" s="399" t="s"/>
      <c r="L297" s="86" t="s"/>
      <c r="M297" s="86" t="s"/>
      <c r="N297" s="86" t="s"/>
      <c r="O297" s="86" t="s"/>
      <c r="P297" s="86" t="s"/>
      <c r="Q297" s="86" t="s"/>
      <c r="R297" s="86" t="s"/>
      <c r="S297" s="86" t="s"/>
      <c r="T297" s="86" t="s"/>
      <c r="U297" s="86" t="s"/>
      <c r="V297" s="86" t="s"/>
      <c r="W297" s="86" t="s"/>
      <c r="X297" s="86" t="s"/>
    </row>
    <row r="298" spans="1:24" ht="22.5" customHeight="1">
      <c r="A298" s="408" t="s"/>
      <c r="B298" s="409" t="s"/>
      <c r="C298" s="221" t="s"/>
      <c r="D298" s="405" t="s"/>
      <c r="E298" s="366" t="s"/>
      <c r="F298" s="366" t="s"/>
      <c r="G298" s="410" t="s"/>
      <c r="H298" s="366" t="s"/>
      <c r="I298" s="405" t="s"/>
      <c r="J298" s="406" t="s"/>
      <c r="K298" s="399" t="s"/>
      <c r="L298" s="86" t="s"/>
      <c r="M298" s="86" t="s"/>
      <c r="N298" s="86" t="s"/>
      <c r="O298" s="86" t="s"/>
      <c r="P298" s="86" t="s"/>
      <c r="Q298" s="86" t="s"/>
      <c r="R298" s="86" t="s"/>
      <c r="S298" s="86" t="s"/>
      <c r="T298" s="86" t="s"/>
      <c r="U298" s="86" t="s"/>
      <c r="V298" s="86" t="s"/>
      <c r="W298" s="86" t="s"/>
      <c r="X298" s="86" t="s"/>
    </row>
    <row r="299" spans="1:24" ht="22.5" customHeight="1">
      <c r="A299" s="408" t="s"/>
      <c r="B299" s="409" t="s"/>
      <c r="C299" s="221" t="s"/>
      <c r="D299" s="405" t="s"/>
      <c r="E299" s="366" t="s"/>
      <c r="F299" s="366" t="s"/>
      <c r="G299" s="410" t="s"/>
      <c r="H299" s="366" t="s"/>
      <c r="I299" s="405" t="s"/>
      <c r="J299" s="406" t="s"/>
      <c r="K299" s="399" t="s"/>
      <c r="L299" s="86" t="s"/>
      <c r="M299" s="86" t="s"/>
      <c r="N299" s="86" t="s"/>
      <c r="O299" s="86" t="s"/>
      <c r="P299" s="86" t="s"/>
      <c r="Q299" s="86" t="s"/>
      <c r="R299" s="86" t="s"/>
      <c r="S299" s="86" t="s"/>
      <c r="T299" s="86" t="s"/>
      <c r="U299" s="86" t="s"/>
      <c r="V299" s="86" t="s"/>
      <c r="W299" s="86" t="s"/>
      <c r="X299" s="86" t="s"/>
    </row>
    <row r="300" spans="1:24" ht="22.5" customHeight="1">
      <c r="A300" s="408" t="s"/>
      <c r="B300" s="409" t="s"/>
      <c r="C300" s="221" t="s"/>
      <c r="D300" s="405" t="s"/>
      <c r="E300" s="366" t="s"/>
      <c r="F300" s="366" t="s"/>
      <c r="G300" s="410" t="s"/>
      <c r="H300" s="366" t="s"/>
      <c r="I300" s="405" t="s"/>
      <c r="J300" s="406" t="s"/>
      <c r="K300" s="399" t="s"/>
      <c r="L300" s="86" t="s"/>
      <c r="M300" s="86" t="s"/>
      <c r="N300" s="86" t="s"/>
      <c r="O300" s="86" t="s"/>
      <c r="P300" s="86" t="s"/>
      <c r="Q300" s="86" t="s"/>
      <c r="R300" s="86" t="s"/>
      <c r="S300" s="86" t="s"/>
      <c r="T300" s="86" t="s"/>
      <c r="U300" s="86" t="s"/>
      <c r="V300" s="86" t="s"/>
      <c r="W300" s="86" t="s"/>
      <c r="X300" s="86" t="s"/>
    </row>
    <row r="301" spans="1:24" ht="22.5" customHeight="1">
      <c r="A301" s="408" t="s"/>
      <c r="B301" s="409" t="s"/>
      <c r="C301" s="221" t="s"/>
      <c r="D301" s="405" t="s"/>
      <c r="E301" s="366" t="s"/>
      <c r="F301" s="366" t="s"/>
      <c r="G301" s="410" t="s"/>
      <c r="H301" s="366" t="s"/>
      <c r="I301" s="405" t="s"/>
      <c r="J301" s="406" t="s"/>
      <c r="K301" s="399" t="s"/>
      <c r="L301" s="86" t="s"/>
      <c r="M301" s="86" t="s"/>
      <c r="N301" s="86" t="s"/>
      <c r="O301" s="86" t="s"/>
      <c r="P301" s="86" t="s"/>
      <c r="Q301" s="86" t="s"/>
      <c r="R301" s="86" t="s"/>
      <c r="S301" s="86" t="s"/>
      <c r="T301" s="86" t="s"/>
      <c r="U301" s="86" t="s"/>
      <c r="V301" s="86" t="s"/>
      <c r="W301" s="86" t="s"/>
      <c r="X301" s="86" t="s"/>
    </row>
    <row r="302" spans="1:24" ht="22.5" customHeight="1">
      <c r="A302" s="408" t="s"/>
      <c r="B302" s="409" t="s"/>
      <c r="C302" s="221" t="s"/>
      <c r="D302" s="405" t="s"/>
      <c r="E302" s="366" t="s"/>
      <c r="F302" s="366" t="s"/>
      <c r="G302" s="410" t="s"/>
      <c r="H302" s="366" t="s"/>
      <c r="I302" s="405" t="s"/>
      <c r="J302" s="406" t="s"/>
      <c r="K302" s="399" t="s"/>
      <c r="L302" s="86" t="s"/>
      <c r="M302" s="86" t="s"/>
      <c r="N302" s="86" t="s"/>
      <c r="O302" s="86" t="s"/>
      <c r="P302" s="86" t="s"/>
      <c r="Q302" s="86" t="s"/>
      <c r="R302" s="86" t="s"/>
      <c r="S302" s="86" t="s"/>
      <c r="T302" s="86" t="s"/>
      <c r="U302" s="86" t="s"/>
      <c r="V302" s="86" t="s"/>
      <c r="W302" s="86" t="s"/>
      <c r="X302" s="86" t="s"/>
    </row>
    <row r="303" spans="1:24" ht="22.5" customHeight="1">
      <c r="A303" s="408" t="s"/>
      <c r="B303" s="409" t="s"/>
      <c r="C303" s="221" t="s"/>
      <c r="D303" s="405" t="s"/>
      <c r="E303" s="366" t="s"/>
      <c r="F303" s="366" t="s"/>
      <c r="G303" s="410" t="s"/>
      <c r="H303" s="366" t="s"/>
      <c r="I303" s="405" t="s"/>
      <c r="J303" s="406" t="s"/>
      <c r="K303" s="399" t="s"/>
      <c r="L303" s="86" t="s"/>
      <c r="M303" s="86" t="s"/>
      <c r="N303" s="86" t="s"/>
      <c r="O303" s="86" t="s"/>
      <c r="P303" s="86" t="s"/>
      <c r="Q303" s="86" t="s"/>
      <c r="R303" s="86" t="s"/>
      <c r="S303" s="86" t="s"/>
      <c r="T303" s="86" t="s"/>
      <c r="U303" s="86" t="s"/>
      <c r="V303" s="86" t="s"/>
      <c r="W303" s="86" t="s"/>
      <c r="X303" s="86" t="s"/>
    </row>
    <row r="304" spans="1:24" ht="22.5" customHeight="1">
      <c r="A304" s="408" t="s"/>
      <c r="B304" s="409" t="s"/>
      <c r="C304" s="221" t="s"/>
      <c r="D304" s="405" t="s"/>
      <c r="E304" s="366" t="s"/>
      <c r="F304" s="366" t="s"/>
      <c r="G304" s="410" t="s"/>
      <c r="H304" s="366" t="s"/>
      <c r="I304" s="405" t="s"/>
      <c r="J304" s="406" t="s"/>
      <c r="K304" s="399" t="s"/>
      <c r="L304" s="86" t="s"/>
      <c r="M304" s="86" t="s"/>
      <c r="N304" s="86" t="s"/>
      <c r="O304" s="86" t="s"/>
      <c r="P304" s="86" t="s"/>
      <c r="Q304" s="86" t="s"/>
      <c r="R304" s="86" t="s"/>
      <c r="S304" s="86" t="s"/>
      <c r="T304" s="86" t="s"/>
      <c r="U304" s="86" t="s"/>
      <c r="V304" s="86" t="s"/>
      <c r="W304" s="86" t="s"/>
      <c r="X304" s="86" t="s"/>
    </row>
    <row r="305" spans="1:24" ht="22.5" customHeight="1">
      <c r="A305" s="408" t="s"/>
      <c r="B305" s="409" t="s"/>
      <c r="C305" s="221" t="s"/>
      <c r="D305" s="405" t="s"/>
      <c r="E305" s="366" t="s"/>
      <c r="F305" s="366" t="s"/>
      <c r="G305" s="410" t="s"/>
      <c r="H305" s="366" t="s"/>
      <c r="I305" s="405" t="s"/>
      <c r="J305" s="406" t="s"/>
      <c r="K305" s="399" t="s"/>
      <c r="L305" s="86" t="s"/>
      <c r="M305" s="86" t="s"/>
      <c r="N305" s="86" t="s"/>
      <c r="O305" s="86" t="s"/>
      <c r="P305" s="86" t="s"/>
      <c r="Q305" s="86" t="s"/>
      <c r="R305" s="86" t="s"/>
      <c r="S305" s="86" t="s"/>
      <c r="T305" s="86" t="s"/>
      <c r="U305" s="86" t="s"/>
      <c r="V305" s="86" t="s"/>
      <c r="W305" s="86" t="s"/>
      <c r="X305" s="86" t="s"/>
    </row>
    <row r="306" spans="1:24" ht="22.5" customHeight="1">
      <c r="A306" s="408" t="s"/>
      <c r="B306" s="409" t="s"/>
      <c r="C306" s="221" t="s"/>
      <c r="D306" s="405" t="s"/>
      <c r="E306" s="366" t="s"/>
      <c r="F306" s="366" t="s"/>
      <c r="G306" s="410" t="s"/>
      <c r="H306" s="366" t="s"/>
      <c r="I306" s="405" t="s"/>
      <c r="J306" s="406" t="s"/>
      <c r="K306" s="399" t="s"/>
      <c r="L306" s="86" t="s"/>
      <c r="M306" s="86" t="s"/>
      <c r="N306" s="86" t="s"/>
      <c r="O306" s="86" t="s"/>
      <c r="P306" s="86" t="s"/>
      <c r="Q306" s="86" t="s"/>
      <c r="R306" s="86" t="s"/>
      <c r="S306" s="86" t="s"/>
      <c r="T306" s="86" t="s"/>
      <c r="U306" s="86" t="s"/>
      <c r="V306" s="86" t="s"/>
      <c r="W306" s="86" t="s"/>
      <c r="X306" s="86" t="s"/>
    </row>
    <row r="307" spans="1:24" ht="22.5" customHeight="1">
      <c r="A307" s="408" t="s"/>
      <c r="B307" s="409" t="s"/>
      <c r="C307" s="221" t="s"/>
      <c r="D307" s="405" t="s"/>
      <c r="E307" s="366" t="s"/>
      <c r="F307" s="366" t="s"/>
      <c r="G307" s="410" t="s"/>
      <c r="H307" s="366" t="s"/>
      <c r="I307" s="405" t="s"/>
      <c r="J307" s="406" t="s"/>
      <c r="K307" s="399" t="s"/>
      <c r="L307" s="86" t="s"/>
      <c r="M307" s="86" t="s"/>
      <c r="N307" s="86" t="s"/>
      <c r="O307" s="86" t="s"/>
      <c r="P307" s="86" t="s"/>
      <c r="Q307" s="86" t="s"/>
      <c r="R307" s="86" t="s"/>
      <c r="S307" s="86" t="s"/>
      <c r="T307" s="86" t="s"/>
      <c r="U307" s="86" t="s"/>
      <c r="V307" s="86" t="s"/>
      <c r="W307" s="86" t="s"/>
      <c r="X307" s="86" t="s"/>
    </row>
    <row r="308" spans="1:24" ht="22.5" customHeight="1">
      <c r="A308" s="408" t="s"/>
      <c r="B308" s="409" t="s"/>
      <c r="C308" s="221" t="s"/>
      <c r="D308" s="405" t="s"/>
      <c r="E308" s="366" t="s"/>
      <c r="F308" s="366" t="s"/>
      <c r="G308" s="410" t="s"/>
      <c r="H308" s="366" t="s"/>
      <c r="I308" s="405" t="s"/>
      <c r="J308" s="406" t="s"/>
      <c r="K308" s="399" t="s"/>
      <c r="L308" s="86" t="s"/>
      <c r="M308" s="86" t="s"/>
      <c r="N308" s="86" t="s"/>
      <c r="O308" s="86" t="s"/>
      <c r="P308" s="86" t="s"/>
      <c r="Q308" s="86" t="s"/>
      <c r="R308" s="86" t="s"/>
      <c r="S308" s="86" t="s"/>
      <c r="T308" s="86" t="s"/>
      <c r="U308" s="86" t="s"/>
      <c r="V308" s="86" t="s"/>
      <c r="W308" s="86" t="s"/>
      <c r="X308" s="86" t="s"/>
    </row>
    <row r="309" spans="1:24" ht="22.5" customHeight="1">
      <c r="A309" s="408" t="s"/>
      <c r="B309" s="409" t="s"/>
      <c r="C309" s="221" t="s"/>
      <c r="D309" s="405" t="s"/>
      <c r="E309" s="366" t="s"/>
      <c r="F309" s="366" t="s"/>
      <c r="G309" s="410" t="s"/>
      <c r="H309" s="366" t="s"/>
      <c r="I309" s="405" t="s"/>
      <c r="J309" s="406" t="s"/>
      <c r="K309" s="399" t="s"/>
      <c r="L309" s="86" t="s"/>
      <c r="M309" s="86" t="s"/>
      <c r="N309" s="86" t="s"/>
      <c r="O309" s="86" t="s"/>
      <c r="P309" s="86" t="s"/>
      <c r="Q309" s="86" t="s"/>
      <c r="R309" s="86" t="s"/>
      <c r="S309" s="86" t="s"/>
      <c r="T309" s="86" t="s"/>
      <c r="U309" s="86" t="s"/>
      <c r="V309" s="86" t="s"/>
      <c r="W309" s="86" t="s"/>
      <c r="X309" s="86" t="s"/>
    </row>
    <row r="310" spans="1:24" ht="22.5" customHeight="1">
      <c r="A310" s="408" t="s"/>
      <c r="B310" s="409" t="s"/>
      <c r="C310" s="221" t="s"/>
      <c r="D310" s="405" t="s"/>
      <c r="E310" s="366" t="s"/>
      <c r="F310" s="366" t="s"/>
      <c r="G310" s="410" t="s"/>
      <c r="H310" s="366" t="s"/>
      <c r="I310" s="405" t="s"/>
      <c r="J310" s="406" t="s"/>
      <c r="K310" s="399" t="s"/>
      <c r="L310" s="86" t="s"/>
      <c r="M310" s="86" t="s"/>
      <c r="N310" s="86" t="s"/>
      <c r="O310" s="86" t="s"/>
      <c r="P310" s="86" t="s"/>
      <c r="Q310" s="86" t="s"/>
      <c r="R310" s="86" t="s"/>
      <c r="S310" s="86" t="s"/>
      <c r="T310" s="86" t="s"/>
      <c r="U310" s="86" t="s"/>
      <c r="V310" s="86" t="s"/>
      <c r="W310" s="86" t="s"/>
      <c r="X310" s="86" t="s"/>
    </row>
    <row r="311" spans="1:24" ht="22.5" customHeight="1">
      <c r="A311" s="408" t="s"/>
      <c r="B311" s="409" t="s"/>
      <c r="C311" s="221" t="s"/>
      <c r="D311" s="405" t="s"/>
      <c r="E311" s="366" t="s"/>
      <c r="F311" s="366" t="s"/>
      <c r="G311" s="410" t="s"/>
      <c r="H311" s="366" t="s"/>
      <c r="I311" s="405" t="s"/>
      <c r="J311" s="406" t="s"/>
      <c r="K311" s="399" t="s"/>
      <c r="L311" s="86" t="s"/>
      <c r="M311" s="86" t="s"/>
      <c r="N311" s="86" t="s"/>
      <c r="O311" s="86" t="s"/>
      <c r="P311" s="86" t="s"/>
      <c r="Q311" s="86" t="s"/>
      <c r="R311" s="86" t="s"/>
      <c r="S311" s="86" t="s"/>
      <c r="T311" s="86" t="s"/>
      <c r="U311" s="86" t="s"/>
      <c r="V311" s="86" t="s"/>
      <c r="W311" s="86" t="s"/>
      <c r="X311" s="86" t="s"/>
    </row>
    <row r="312" spans="1:24" ht="22.5" customHeight="1">
      <c r="A312" s="408" t="s"/>
      <c r="B312" s="409" t="s"/>
      <c r="C312" s="221" t="s"/>
      <c r="D312" s="405" t="s"/>
      <c r="E312" s="366" t="s"/>
      <c r="F312" s="366" t="s"/>
      <c r="G312" s="410" t="s"/>
      <c r="H312" s="366" t="s"/>
      <c r="I312" s="405" t="s"/>
      <c r="J312" s="406" t="s"/>
      <c r="K312" s="399" t="s"/>
      <c r="L312" s="86" t="s"/>
      <c r="M312" s="86" t="s"/>
      <c r="N312" s="86" t="s"/>
      <c r="O312" s="86" t="s"/>
      <c r="P312" s="86" t="s"/>
      <c r="Q312" s="86" t="s"/>
      <c r="R312" s="86" t="s"/>
      <c r="S312" s="86" t="s"/>
      <c r="T312" s="86" t="s"/>
      <c r="U312" s="86" t="s"/>
      <c r="V312" s="86" t="s"/>
      <c r="W312" s="86" t="s"/>
      <c r="X312" s="86" t="s"/>
    </row>
    <row r="313" spans="1:24" ht="22.5" customHeight="1">
      <c r="A313" s="408" t="s"/>
      <c r="B313" s="409" t="s"/>
      <c r="C313" s="221" t="s"/>
      <c r="D313" s="405" t="s"/>
      <c r="E313" s="366" t="s"/>
      <c r="F313" s="366" t="s"/>
      <c r="G313" s="410" t="s"/>
      <c r="H313" s="366" t="s"/>
      <c r="I313" s="405" t="s"/>
      <c r="J313" s="406" t="s"/>
      <c r="K313" s="399" t="s"/>
      <c r="L313" s="86" t="s"/>
      <c r="M313" s="86" t="s"/>
      <c r="N313" s="86" t="s"/>
      <c r="O313" s="86" t="s"/>
      <c r="P313" s="86" t="s"/>
      <c r="Q313" s="86" t="s"/>
      <c r="R313" s="86" t="s"/>
      <c r="S313" s="86" t="s"/>
      <c r="T313" s="86" t="s"/>
      <c r="U313" s="86" t="s"/>
      <c r="V313" s="86" t="s"/>
      <c r="W313" s="86" t="s"/>
      <c r="X313" s="86" t="s"/>
    </row>
    <row r="314" spans="1:24" ht="22.5" customHeight="1">
      <c r="A314" s="408" t="s"/>
      <c r="B314" s="409" t="s"/>
      <c r="C314" s="221" t="s"/>
      <c r="D314" s="405" t="s"/>
      <c r="E314" s="366" t="s"/>
      <c r="F314" s="366" t="s"/>
      <c r="G314" s="410" t="s"/>
      <c r="H314" s="366" t="s"/>
      <c r="I314" s="405" t="s"/>
      <c r="J314" s="406" t="s"/>
      <c r="K314" s="399" t="s"/>
      <c r="L314" s="86" t="s"/>
      <c r="M314" s="86" t="s"/>
      <c r="N314" s="86" t="s"/>
      <c r="O314" s="86" t="s"/>
      <c r="P314" s="86" t="s"/>
      <c r="Q314" s="86" t="s"/>
      <c r="R314" s="86" t="s"/>
      <c r="S314" s="86" t="s"/>
      <c r="T314" s="86" t="s"/>
      <c r="U314" s="86" t="s"/>
      <c r="V314" s="86" t="s"/>
      <c r="W314" s="86" t="s"/>
      <c r="X314" s="86" t="s"/>
    </row>
    <row r="315" spans="1:24" ht="22.5" customHeight="1">
      <c r="A315" s="408" t="s"/>
      <c r="B315" s="409" t="s"/>
      <c r="C315" s="221" t="s"/>
      <c r="D315" s="405" t="s"/>
      <c r="E315" s="366" t="s"/>
      <c r="F315" s="366" t="s"/>
      <c r="G315" s="410" t="s"/>
      <c r="H315" s="366" t="s"/>
      <c r="I315" s="405" t="s"/>
      <c r="J315" s="406" t="s"/>
      <c r="K315" s="399" t="s"/>
      <c r="L315" s="86" t="s"/>
      <c r="M315" s="86" t="s"/>
      <c r="N315" s="86" t="s"/>
      <c r="O315" s="86" t="s"/>
      <c r="P315" s="86" t="s"/>
      <c r="Q315" s="86" t="s"/>
      <c r="R315" s="86" t="s"/>
      <c r="S315" s="86" t="s"/>
      <c r="T315" s="86" t="s"/>
      <c r="U315" s="86" t="s"/>
      <c r="V315" s="86" t="s"/>
      <c r="W315" s="86" t="s"/>
      <c r="X315" s="86" t="s"/>
    </row>
    <row r="316" spans="1:24" ht="22.5" customHeight="1">
      <c r="A316" s="408" t="s"/>
      <c r="B316" s="409" t="s"/>
      <c r="C316" s="221" t="s"/>
      <c r="D316" s="405" t="s"/>
      <c r="E316" s="366" t="s"/>
      <c r="F316" s="366" t="s"/>
      <c r="G316" s="410" t="s"/>
      <c r="H316" s="366" t="s"/>
      <c r="I316" s="405" t="s"/>
      <c r="J316" s="406" t="s"/>
      <c r="K316" s="399" t="s"/>
      <c r="L316" s="86" t="s"/>
      <c r="M316" s="86" t="s"/>
      <c r="N316" s="86" t="s"/>
      <c r="O316" s="86" t="s"/>
      <c r="P316" s="86" t="s"/>
      <c r="Q316" s="86" t="s"/>
      <c r="R316" s="86" t="s"/>
      <c r="S316" s="86" t="s"/>
      <c r="T316" s="86" t="s"/>
      <c r="U316" s="86" t="s"/>
      <c r="V316" s="86" t="s"/>
      <c r="W316" s="86" t="s"/>
      <c r="X316" s="86" t="s"/>
    </row>
    <row r="317" spans="1:24" ht="22.5" customHeight="1">
      <c r="A317" s="408" t="s"/>
      <c r="B317" s="409" t="s"/>
      <c r="C317" s="221" t="s"/>
      <c r="D317" s="405" t="s"/>
      <c r="E317" s="366" t="s"/>
      <c r="F317" s="366" t="s"/>
      <c r="G317" s="410" t="s"/>
      <c r="H317" s="366" t="s"/>
      <c r="I317" s="405" t="s"/>
      <c r="J317" s="406" t="s"/>
      <c r="K317" s="399" t="s"/>
      <c r="L317" s="86" t="s"/>
      <c r="M317" s="86" t="s"/>
      <c r="N317" s="86" t="s"/>
      <c r="O317" s="86" t="s"/>
      <c r="P317" s="86" t="s"/>
      <c r="Q317" s="86" t="s"/>
      <c r="R317" s="86" t="s"/>
      <c r="S317" s="86" t="s"/>
      <c r="T317" s="86" t="s"/>
      <c r="U317" s="86" t="s"/>
      <c r="V317" s="86" t="s"/>
      <c r="W317" s="86" t="s"/>
      <c r="X317" s="86" t="s"/>
    </row>
    <row r="318" spans="1:24" ht="22.5" customHeight="1">
      <c r="A318" s="408" t="s"/>
      <c r="B318" s="409" t="s"/>
      <c r="C318" s="221" t="s"/>
      <c r="D318" s="405" t="s"/>
      <c r="E318" s="366" t="s"/>
      <c r="F318" s="366" t="s"/>
      <c r="G318" s="410" t="s"/>
      <c r="H318" s="366" t="s"/>
      <c r="I318" s="405" t="s"/>
      <c r="J318" s="406" t="s"/>
      <c r="K318" s="399" t="s"/>
      <c r="L318" s="86" t="s"/>
      <c r="M318" s="86" t="s"/>
      <c r="N318" s="86" t="s"/>
      <c r="O318" s="86" t="s"/>
      <c r="P318" s="86" t="s"/>
      <c r="Q318" s="86" t="s"/>
      <c r="R318" s="86" t="s"/>
      <c r="S318" s="86" t="s"/>
      <c r="T318" s="86" t="s"/>
      <c r="U318" s="86" t="s"/>
      <c r="V318" s="86" t="s"/>
      <c r="W318" s="86" t="s"/>
      <c r="X318" s="86" t="s"/>
    </row>
    <row r="319" spans="1:24" ht="22.5" customHeight="1">
      <c r="A319" s="408" t="s"/>
      <c r="B319" s="409" t="s"/>
      <c r="C319" s="221" t="s"/>
      <c r="D319" s="405" t="s"/>
      <c r="E319" s="366" t="s"/>
      <c r="F319" s="366" t="s"/>
      <c r="G319" s="410" t="s"/>
      <c r="H319" s="366" t="s"/>
      <c r="I319" s="405" t="s"/>
      <c r="J319" s="406" t="s"/>
      <c r="K319" s="399" t="s"/>
      <c r="L319" s="86" t="s"/>
      <c r="M319" s="86" t="s"/>
      <c r="N319" s="86" t="s"/>
      <c r="O319" s="86" t="s"/>
      <c r="P319" s="86" t="s"/>
      <c r="Q319" s="86" t="s"/>
      <c r="R319" s="86" t="s"/>
      <c r="S319" s="86" t="s"/>
      <c r="T319" s="86" t="s"/>
      <c r="U319" s="86" t="s"/>
      <c r="V319" s="86" t="s"/>
      <c r="W319" s="86" t="s"/>
      <c r="X319" s="86" t="s"/>
    </row>
    <row r="320" spans="1:24" ht="22.5" customHeight="1">
      <c r="A320" s="408" t="s"/>
      <c r="B320" s="409" t="s"/>
      <c r="C320" s="221" t="s"/>
      <c r="D320" s="405" t="s"/>
      <c r="E320" s="366" t="s"/>
      <c r="F320" s="366" t="s"/>
      <c r="G320" s="410" t="s"/>
      <c r="H320" s="366" t="s"/>
      <c r="I320" s="405" t="s"/>
      <c r="J320" s="406" t="s"/>
      <c r="K320" s="399" t="s"/>
      <c r="L320" s="86" t="s"/>
      <c r="M320" s="86" t="s"/>
      <c r="N320" s="86" t="s"/>
      <c r="O320" s="86" t="s"/>
      <c r="P320" s="86" t="s"/>
      <c r="Q320" s="86" t="s"/>
      <c r="R320" s="86" t="s"/>
      <c r="S320" s="86" t="s"/>
      <c r="T320" s="86" t="s"/>
      <c r="U320" s="86" t="s"/>
      <c r="V320" s="86" t="s"/>
      <c r="W320" s="86" t="s"/>
      <c r="X320" s="86" t="s"/>
    </row>
  </sheetData>
</worksheet>
</file>

<file path=xl/worksheets/sheet4.xml><?xml version="1.0" encoding="utf-8"?>
<worksheet xmlns="http://schemas.openxmlformats.org/spreadsheetml/2006/main">
  <sheetPr codeName=" 【资金成本】">
    <tabColor/>
  </sheetPr>
  <dimension ref="E179"/>
  <sheetViews>
    <sheetView showGridLines="1" workbookViewId="0"/>
  </sheetViews>
  <sheetFormatPr baseColWidth="13" defaultRowHeight="18" customHeight="1"/>
  <cols>
    <col min="1" max="4" width="13.6719" style="86"/>
    <col min="5" max="5" width="16.3242" style="86" customWidth="1"/>
    <col min="6" max="6" width="13.6719" style="86"/>
    <col min="7" max="7" width="94.0117" style="86" customWidth="1"/>
    <col min="8" max="27" width="13.6719" style="86"/>
  </cols>
  <sheetData>
    <row r="1" spans="1:7">
      <c r="A1" s="411" t="s">
        <v>265</v>
      </c>
      <c r="B1" s="411" t="s">
        <v>349</v>
      </c>
      <c r="C1" s="411" t="s">
        <v>350</v>
      </c>
      <c r="D1" s="412" t="s">
        <v>351</v>
      </c>
      <c r="E1" s="413" t="s">
        <v>352</v>
      </c>
      <c r="F1" s="414" t="s">
        <v>353</v>
      </c>
      <c r="G1" s="414" t="s"/>
    </row>
    <row r="2" spans="1:6">
      <c r="A2" s="415">
        <v>45866</v>
      </c>
      <c r="B2" s="366">
        <v>33116.17</v>
      </c>
      <c r="C2" s="366">
        <v>0</v>
      </c>
      <c r="D2" s="366">
        <f>B2+C2</f>
        <v>33116.17</v>
      </c>
      <c r="E2" s="416">
        <v>684318930.8</v>
      </c>
      <c r="F2" s="417">
        <f>D2*365/E2</f>
        <v>0.0176634044536358</v>
      </c>
    </row>
    <row r="3" spans="1:6">
      <c r="A3" s="415">
        <v>45867</v>
      </c>
      <c r="B3" s="366">
        <v>29472.22</v>
      </c>
      <c r="C3" s="366">
        <v>2719.56</v>
      </c>
      <c r="D3" s="366">
        <f>B3+C3</f>
        <v>32191.78</v>
      </c>
      <c r="E3" s="416">
        <v>740187821.21</v>
      </c>
      <c r="F3" s="417">
        <f>D3*365/E3</f>
        <v>0.0158743488656596</v>
      </c>
    </row>
    <row r="4" spans="1:6">
      <c r="A4" s="415">
        <v>45868</v>
      </c>
      <c r="B4" s="366">
        <v>0</v>
      </c>
      <c r="C4" s="366">
        <v>50017.46</v>
      </c>
      <c r="D4" s="366">
        <f>B4+C4</f>
        <v>50017.46</v>
      </c>
      <c r="E4" s="416">
        <v>739124369.97</v>
      </c>
      <c r="F4" s="417">
        <f>D4*365/E4</f>
        <v>0.0247000013011897</v>
      </c>
    </row>
    <row r="5" spans="1:6">
      <c r="A5" s="415">
        <v>45869</v>
      </c>
      <c r="B5" s="366">
        <v>0</v>
      </c>
      <c r="C5" s="307">
        <v>45263.96</v>
      </c>
      <c r="D5" s="366">
        <f>B5+C5</f>
        <v>45263.96</v>
      </c>
      <c r="E5" s="416">
        <v>668880309.7</v>
      </c>
      <c r="F5" s="417">
        <f>D5*365/E5</f>
        <v>0.0247000026169256</v>
      </c>
    </row>
    <row r="6" spans="1:6">
      <c r="A6" s="415">
        <v>45870</v>
      </c>
      <c r="B6" s="366">
        <v>0</v>
      </c>
      <c r="C6" s="366">
        <v>51838.8836915743</v>
      </c>
      <c r="D6" s="366">
        <f>B6+C6</f>
        <v>51838.8836915743</v>
      </c>
      <c r="E6" s="416">
        <v>811024112.62</v>
      </c>
      <c r="F6" s="417">
        <f>D6*365/E6</f>
        <v>0.02333</v>
      </c>
    </row>
    <row r="7" spans="1:6">
      <c r="A7" s="418">
        <v>45871</v>
      </c>
      <c r="B7" s="419">
        <v>0</v>
      </c>
      <c r="C7" s="419">
        <v>51838.8836915743</v>
      </c>
      <c r="D7" s="419">
        <f>B7+C7</f>
        <v>51838.8836915743</v>
      </c>
      <c r="E7" s="416">
        <v>811024112.62</v>
      </c>
      <c r="F7" s="420">
        <f>D7*365/E7</f>
        <v>0.02333</v>
      </c>
    </row>
    <row r="8" spans="1:12">
      <c r="A8" s="418">
        <v>45872</v>
      </c>
      <c r="B8" s="419">
        <v>0</v>
      </c>
      <c r="C8" s="419">
        <v>51838.8836915743</v>
      </c>
      <c r="D8" s="419">
        <f>B8+C8</f>
        <v>51838.8836915743</v>
      </c>
      <c r="E8" s="416">
        <v>811024112.62</v>
      </c>
      <c r="F8" s="420">
        <f>D8*365/E8</f>
        <v>0.02333</v>
      </c>
      <c r="H8" s="86" t="s"/>
      <c r="L8" s="86" t="s"/>
    </row>
    <row r="9" spans="1:6">
      <c r="A9" s="415">
        <v>45873</v>
      </c>
      <c r="B9" s="366">
        <v>8722.22</v>
      </c>
      <c r="C9" s="366">
        <v>37128.7598281356</v>
      </c>
      <c r="D9" s="366">
        <f>B9+C9</f>
        <v>45850.9798281356</v>
      </c>
      <c r="E9" s="416">
        <v>782601460.69</v>
      </c>
      <c r="F9" s="417">
        <f>D9*365/E9</f>
        <v>0.0213845852300277</v>
      </c>
    </row>
    <row r="10" spans="1:6">
      <c r="A10" s="415">
        <v>45874</v>
      </c>
      <c r="B10" s="366">
        <v>8722.22</v>
      </c>
      <c r="C10" s="366">
        <v>26602.24</v>
      </c>
      <c r="D10" s="366">
        <f>B10+C10</f>
        <v>35324.46</v>
      </c>
      <c r="E10" s="416">
        <v>608290225.67</v>
      </c>
      <c r="F10" s="417">
        <f>D10*365/E10</f>
        <v>0.0211961780017073</v>
      </c>
    </row>
    <row r="11" spans="1:6">
      <c r="A11" s="415">
        <v>45875</v>
      </c>
      <c r="B11" s="366">
        <v>29555.56</v>
      </c>
      <c r="C11" s="366">
        <v>15055.1</v>
      </c>
      <c r="D11" s="366">
        <f>B11+C11</f>
        <v>44610.66</v>
      </c>
      <c r="E11" s="416">
        <v>935538422.52</v>
      </c>
      <c r="F11" s="417">
        <f>D11*365/E11</f>
        <v>0.0174048339523457</v>
      </c>
    </row>
    <row r="12" spans="1:6">
      <c r="A12" s="415">
        <v>45876</v>
      </c>
      <c r="B12" s="366">
        <v>29555.56</v>
      </c>
      <c r="C12" s="366">
        <v>28709.6257312299</v>
      </c>
      <c r="D12" s="366">
        <f>B12+C12</f>
        <v>58265.1857312299</v>
      </c>
      <c r="E12" s="416">
        <v>1149164740.33</v>
      </c>
      <c r="F12" s="417">
        <f>D12*365/E12</f>
        <v>0.0185063046624558</v>
      </c>
    </row>
    <row r="13" spans="1:6">
      <c r="A13" s="415">
        <v>45877</v>
      </c>
      <c r="B13" s="366">
        <v>29555.56</v>
      </c>
      <c r="C13" s="366">
        <v>18710.47</v>
      </c>
      <c r="D13" s="366">
        <f>B13+C13</f>
        <v>48266.03</v>
      </c>
      <c r="E13" s="416">
        <v>992726970.98</v>
      </c>
      <c r="F13" s="417">
        <f>D13*365/E13</f>
        <v>0.0177461693547107</v>
      </c>
    </row>
    <row r="14" spans="1:6">
      <c r="A14" s="418">
        <v>45878</v>
      </c>
      <c r="B14" s="421">
        <v>29555.56</v>
      </c>
      <c r="C14" s="421">
        <v>18710.47</v>
      </c>
      <c r="D14" s="419">
        <f>B14+C14</f>
        <v>48266.03</v>
      </c>
      <c r="E14" s="416">
        <v>992726970.98</v>
      </c>
      <c r="F14" s="422">
        <f>D14*365/E14</f>
        <v>0.0177461693547107</v>
      </c>
    </row>
    <row r="15" spans="1:6">
      <c r="A15" s="418">
        <v>45879</v>
      </c>
      <c r="B15" s="421">
        <v>29555.56</v>
      </c>
      <c r="C15" s="421">
        <v>18710.47</v>
      </c>
      <c r="D15" s="419">
        <f>B15+C15</f>
        <v>48266.03</v>
      </c>
      <c r="E15" s="416">
        <v>992726970.98</v>
      </c>
      <c r="F15" s="422">
        <f>D15*365/E15</f>
        <v>0.0177461693547107</v>
      </c>
    </row>
    <row r="16" spans="1:6">
      <c r="A16" s="415">
        <v>45880</v>
      </c>
      <c r="B16" s="366">
        <v>29361.11</v>
      </c>
      <c r="C16" s="366">
        <v>17542.01</v>
      </c>
      <c r="D16" s="423">
        <f>B16+C16</f>
        <v>46903.12</v>
      </c>
      <c r="E16" s="416">
        <v>975580340.33</v>
      </c>
      <c r="F16" s="424">
        <f>D16*365/E16</f>
        <v>0.0175481588673764</v>
      </c>
    </row>
    <row r="17" spans="1:6">
      <c r="A17" s="415">
        <v>45881</v>
      </c>
      <c r="B17" s="366">
        <v>29361.11</v>
      </c>
      <c r="C17" s="425">
        <v>32731.49</v>
      </c>
      <c r="D17" s="423">
        <f>B17+C17</f>
        <v>62092.6</v>
      </c>
      <c r="E17" s="416">
        <v>1214202989.35</v>
      </c>
      <c r="F17" s="424">
        <f>D17*365/E17</f>
        <v>0.0186655766776959</v>
      </c>
    </row>
    <row r="18" spans="1:6">
      <c r="A18" s="415">
        <v>45882</v>
      </c>
      <c r="B18" s="366">
        <v>29361.11</v>
      </c>
      <c r="C18" s="366">
        <v>38674.17</v>
      </c>
      <c r="D18" s="423">
        <f>B18+C18</f>
        <v>68035.28</v>
      </c>
      <c r="E18" s="416">
        <v>1307560939.78</v>
      </c>
      <c r="F18" s="426">
        <f>D18*365/E18</f>
        <v>0.0189917551408183</v>
      </c>
    </row>
    <row r="19" spans="1:6">
      <c r="A19" s="415">
        <v>45883</v>
      </c>
      <c r="B19" s="366">
        <v>29361.11</v>
      </c>
      <c r="C19" s="366">
        <v>19916.34</v>
      </c>
      <c r="D19" s="423">
        <f>B19+C19</f>
        <v>49277.45</v>
      </c>
      <c r="E19" s="416">
        <v>1012880497.7</v>
      </c>
      <c r="F19" s="426">
        <f>D19*365/E19</f>
        <v>0.017757543254947</v>
      </c>
    </row>
    <row r="20" spans="1:6">
      <c r="A20" s="415">
        <v>45884</v>
      </c>
      <c r="B20" s="366">
        <v>29361.11</v>
      </c>
      <c r="C20" s="425">
        <v>33417.4</v>
      </c>
      <c r="D20" s="423">
        <f>B20+C20</f>
        <v>62778.51</v>
      </c>
      <c r="E20" s="416">
        <v>1224978556.88</v>
      </c>
      <c r="F20" s="426">
        <f>D20*365/E20</f>
        <v>0.0187057610284722</v>
      </c>
    </row>
    <row r="21" spans="1:6">
      <c r="A21" s="418">
        <v>45885</v>
      </c>
      <c r="B21" s="419">
        <v>29361.11</v>
      </c>
      <c r="C21" s="419">
        <v>33417.4</v>
      </c>
      <c r="D21" s="419">
        <f>B21+C21</f>
        <v>62778.51</v>
      </c>
      <c r="E21" s="416">
        <v>1224978556.88</v>
      </c>
      <c r="F21" s="420">
        <f>D21*365/E21</f>
        <v>0.0187057610284722</v>
      </c>
    </row>
    <row r="22" spans="1:6">
      <c r="A22" s="418">
        <v>45886</v>
      </c>
      <c r="B22" s="419">
        <v>29361.11</v>
      </c>
      <c r="C22" s="419">
        <v>33417.4</v>
      </c>
      <c r="D22" s="419">
        <f>B22+C22</f>
        <v>62778.51</v>
      </c>
      <c r="E22" s="416">
        <v>1224978556.88</v>
      </c>
      <c r="F22" s="420">
        <f>D22*365/E22</f>
        <v>0.0187057610284722</v>
      </c>
    </row>
    <row r="23" spans="1:6">
      <c r="A23" s="427">
        <v>45887</v>
      </c>
      <c r="B23" s="366">
        <v>17111.1111111111</v>
      </c>
      <c r="C23" s="366">
        <v>53735.93</v>
      </c>
      <c r="D23" s="419">
        <f>B23+C23</f>
        <v>70847.0411111111</v>
      </c>
      <c r="E23" s="416">
        <v>1244177258.17</v>
      </c>
      <c r="F23" s="426">
        <f>D23*365/E23</f>
        <v>0.0207841526082791</v>
      </c>
    </row>
    <row r="24" spans="1:6">
      <c r="A24" s="427">
        <v>45888</v>
      </c>
      <c r="B24" s="366">
        <v>17111.1111111111</v>
      </c>
      <c r="C24" s="425">
        <v>46749.21</v>
      </c>
      <c r="D24" s="419">
        <f>B24+C24</f>
        <v>63860.3211111111</v>
      </c>
      <c r="E24" s="416">
        <v>1134417798.6</v>
      </c>
      <c r="F24" s="426">
        <f>D24*365/E24</f>
        <v>0.0205471187373131</v>
      </c>
    </row>
    <row r="25" spans="1:6">
      <c r="A25" s="427">
        <v>45889</v>
      </c>
      <c r="B25" s="366">
        <v>17111.1111111111</v>
      </c>
      <c r="C25" s="425">
        <v>45608.67</v>
      </c>
      <c r="D25" s="419">
        <f>B25+C25</f>
        <v>62719.7811111111</v>
      </c>
      <c r="E25" s="416">
        <v>1116500188.47</v>
      </c>
      <c r="F25" s="426">
        <f>D25*365/E25</f>
        <v>0.0205040002160024</v>
      </c>
    </row>
    <row r="26" spans="1:6">
      <c r="A26" s="427">
        <v>45890</v>
      </c>
      <c r="B26" s="366">
        <v>17111.1111111111</v>
      </c>
      <c r="C26" s="428">
        <v>28974.72</v>
      </c>
      <c r="D26" s="419">
        <f>B26+C26</f>
        <v>46085.8311111111</v>
      </c>
      <c r="E26" s="416">
        <v>855185192.75</v>
      </c>
      <c r="F26" s="426">
        <f>D26*365/E26</f>
        <v>0.0196698077774986</v>
      </c>
    </row>
    <row r="27" spans="1:6">
      <c r="A27" s="427">
        <v>45891</v>
      </c>
      <c r="B27" s="366">
        <v>17111.1111111111</v>
      </c>
      <c r="C27" s="366">
        <v>35577.67</v>
      </c>
      <c r="D27" s="419">
        <f>B27+C27</f>
        <v>52688.7811111111</v>
      </c>
      <c r="E27" s="416">
        <v>971761632.05</v>
      </c>
      <c r="F27" s="426">
        <f>D27*365/E27</f>
        <v>0.0197902494513861</v>
      </c>
    </row>
    <row r="28" spans="1:6">
      <c r="A28" s="418">
        <v>45892</v>
      </c>
      <c r="B28" s="419">
        <v>17111.1111111111</v>
      </c>
      <c r="C28" s="419">
        <v>35577.67</v>
      </c>
      <c r="D28" s="419">
        <f>B28+C28</f>
        <v>52688.7811111111</v>
      </c>
      <c r="E28" s="416">
        <v>971761632.05</v>
      </c>
      <c r="F28" s="420">
        <f>D28*365/E28</f>
        <v>0.0197902494513861</v>
      </c>
    </row>
    <row r="29" spans="1:6">
      <c r="A29" s="418">
        <v>45893</v>
      </c>
      <c r="B29" s="419">
        <v>17111.1111111111</v>
      </c>
      <c r="C29" s="419">
        <v>35577.67</v>
      </c>
      <c r="D29" s="419">
        <f>B29+C29</f>
        <v>52688.7811111111</v>
      </c>
      <c r="E29" s="416">
        <v>971761632.05</v>
      </c>
      <c r="F29" s="420">
        <f>D29*365/E29</f>
        <v>0.0197902494513861</v>
      </c>
    </row>
    <row r="30" spans="1:6">
      <c r="A30" s="427">
        <v>45894</v>
      </c>
      <c r="B30" s="366">
        <v>8444.44</v>
      </c>
      <c r="C30" s="425">
        <v>53636.95</v>
      </c>
      <c r="D30" s="423">
        <f>B30+C30</f>
        <v>62081.39</v>
      </c>
      <c r="E30" s="416">
        <v>1063166840.3</v>
      </c>
      <c r="F30" s="426">
        <f>D30*365/E30</f>
        <v>0.0213134067872226</v>
      </c>
    </row>
    <row r="31" spans="1:6">
      <c r="A31" s="427">
        <v>45895</v>
      </c>
      <c r="B31" s="366">
        <v>8444.44</v>
      </c>
      <c r="C31" s="366">
        <v>59667.87</v>
      </c>
      <c r="D31" s="423">
        <f>B31+C31</f>
        <v>68112.31</v>
      </c>
      <c r="E31" s="416">
        <v>1160220928.37</v>
      </c>
      <c r="F31" s="426">
        <f>D31*365/E31</f>
        <v>0.0214278096025447</v>
      </c>
    </row>
    <row r="32" spans="1:6">
      <c r="A32" s="427">
        <v>45896</v>
      </c>
      <c r="B32" s="366">
        <v>8444.44</v>
      </c>
      <c r="C32" s="366">
        <v>49731.06</v>
      </c>
      <c r="D32" s="423">
        <f>B32+C32</f>
        <v>58175.5</v>
      </c>
      <c r="E32" s="416">
        <v>1000310199.87</v>
      </c>
      <c r="F32" s="426">
        <f>D32*365/E32</f>
        <v>0.0212274727407154</v>
      </c>
    </row>
    <row r="33" spans="1:6">
      <c r="A33" s="427">
        <v>45897</v>
      </c>
      <c r="B33" s="366">
        <v>8444.44</v>
      </c>
      <c r="C33" s="425">
        <v>39110.53</v>
      </c>
      <c r="D33" s="423">
        <f>B33+C33</f>
        <v>47554.97</v>
      </c>
      <c r="E33" s="416">
        <v>829396603.31</v>
      </c>
      <c r="F33" s="426">
        <f>D33*365/E33</f>
        <v>0.0209279420493507</v>
      </c>
    </row>
    <row r="34" spans="1:6">
      <c r="A34" s="427">
        <v>45898</v>
      </c>
      <c r="B34" s="86">
        <v>0</v>
      </c>
      <c r="C34" s="425">
        <v>56850.38</v>
      </c>
      <c r="D34" s="423">
        <f>B34+C34</f>
        <v>56850.38</v>
      </c>
      <c r="E34" s="416">
        <v>914879793.72</v>
      </c>
      <c r="F34" s="426">
        <f>D34*365/E34</f>
        <v>0.0226810001078138</v>
      </c>
    </row>
    <row r="35" spans="1:6">
      <c r="A35" s="427">
        <v>45899</v>
      </c>
      <c r="C35" s="425">
        <v>56850.38</v>
      </c>
      <c r="D35" s="423">
        <f>B35+C35</f>
        <v>56850.38</v>
      </c>
      <c r="E35" s="416">
        <v>986672473.17</v>
      </c>
      <c r="F35" s="426">
        <f>D35*365/E35</f>
        <v>0.0210306755932217</v>
      </c>
    </row>
    <row r="36" spans="1:6">
      <c r="A36" s="427">
        <v>45900</v>
      </c>
      <c r="C36" s="425">
        <v>56850.38</v>
      </c>
      <c r="D36" s="423">
        <f>B36+C36</f>
        <v>56850.38</v>
      </c>
      <c r="E36" s="416">
        <v>986672473.17</v>
      </c>
      <c r="F36" s="426">
        <f>D36*365/E36</f>
        <v>0.0210306755932217</v>
      </c>
    </row>
    <row r="37" spans="1:7">
      <c r="A37" s="427">
        <v>45901</v>
      </c>
      <c r="B37" s="366">
        <v>18750</v>
      </c>
      <c r="C37" s="366">
        <v>33348.68</v>
      </c>
      <c r="D37" s="423">
        <f>B37+C37</f>
        <v>52098.68</v>
      </c>
      <c r="E37" s="416">
        <v>986672473.17</v>
      </c>
      <c r="F37" s="426">
        <f>D37*365/E37</f>
        <v>0.0192728779986179</v>
      </c>
      <c r="G37" s="357" t="s">
        <v>354</v>
      </c>
    </row>
    <row r="38" spans="1:7">
      <c r="A38" s="427">
        <v>45902</v>
      </c>
      <c r="B38" s="86">
        <v>18750</v>
      </c>
      <c r="C38" s="86">
        <v>33097.7563107858</v>
      </c>
      <c r="D38" s="423">
        <f>B38+C38</f>
        <v>51847.7563107858</v>
      </c>
      <c r="E38" s="416">
        <v>982634410.01</v>
      </c>
      <c r="F38" s="426">
        <f>D38*365/E38</f>
        <v>0.0192588727411288</v>
      </c>
      <c r="G38" s="357" t="s">
        <v>355</v>
      </c>
    </row>
    <row r="39" spans="1:7">
      <c r="A39" s="427">
        <v>45903</v>
      </c>
      <c r="B39" s="86">
        <v>18750</v>
      </c>
      <c r="C39" s="86">
        <v>51194.6876625915</v>
      </c>
      <c r="D39" s="423">
        <f>B39+C39</f>
        <v>69944.6876625916</v>
      </c>
      <c r="E39" s="416">
        <v>1273864071.11</v>
      </c>
      <c r="F39" s="426">
        <f>D39*365/E39</f>
        <v>0.0200412364049173</v>
      </c>
      <c r="G39" s="357" t="s">
        <v>356</v>
      </c>
    </row>
    <row r="40" spans="1:7">
      <c r="A40" s="427">
        <v>45904</v>
      </c>
      <c r="B40" s="86">
        <v>18750</v>
      </c>
      <c r="C40" s="86">
        <v>48250.9821828421</v>
      </c>
      <c r="D40" s="423">
        <f>B40+C40</f>
        <v>67000.9821828421</v>
      </c>
      <c r="E40" s="416">
        <v>1226491710.98</v>
      </c>
      <c r="F40" s="426">
        <f>D40*365/E40</f>
        <v>0.0199392774348201</v>
      </c>
      <c r="G40" s="357" t="s">
        <v>357</v>
      </c>
    </row>
    <row r="41" spans="1:7">
      <c r="A41" s="427">
        <v>45905</v>
      </c>
      <c r="B41" s="86">
        <v>18750</v>
      </c>
      <c r="C41" s="86">
        <v>45961.5686849575</v>
      </c>
      <c r="D41" s="423">
        <f>B41+C41</f>
        <v>64711.5686849575</v>
      </c>
      <c r="E41" s="416">
        <v>1189648717.87</v>
      </c>
      <c r="F41" s="426">
        <f>D41*365/E41</f>
        <v>0.0198543672726343</v>
      </c>
      <c r="G41" s="357" t="s">
        <v>358</v>
      </c>
    </row>
    <row r="42" spans="1:6">
      <c r="A42" s="427">
        <v>45906</v>
      </c>
      <c r="C42" s="86">
        <v>45961.5686849575</v>
      </c>
      <c r="D42" s="423">
        <f>B42+C42</f>
        <v>45961.5686849575</v>
      </c>
      <c r="E42" s="429">
        <v>1189648717.87</v>
      </c>
      <c r="F42" s="426">
        <f>D42*365/E42</f>
        <v>0.0141016186694556</v>
      </c>
    </row>
    <row r="43" spans="1:6">
      <c r="A43" s="427">
        <v>45907</v>
      </c>
      <c r="C43" s="86">
        <v>45961.5686849575</v>
      </c>
      <c r="D43" s="423">
        <f>B43+C43</f>
        <v>45961.5686849575</v>
      </c>
      <c r="E43" s="429">
        <v>1189648717.87</v>
      </c>
      <c r="F43" s="426">
        <f>D43*365/E43</f>
        <v>0.0141016186694556</v>
      </c>
    </row>
    <row r="44" spans="1:7">
      <c r="A44" s="427">
        <v>45908</v>
      </c>
      <c r="B44" s="86">
        <v>8222.22222222223</v>
      </c>
      <c r="C44" s="86">
        <v>62192.6230365138</v>
      </c>
      <c r="D44" s="423">
        <f>B44+C44</f>
        <v>70414.845258736</v>
      </c>
      <c r="E44" s="416">
        <v>1200851259.13</v>
      </c>
      <c r="F44" s="426">
        <f>D44*365/E44</f>
        <v>0.0214026660871047</v>
      </c>
      <c r="G44" s="357" t="s">
        <v>359</v>
      </c>
    </row>
    <row r="45" spans="1:7">
      <c r="A45" s="427">
        <v>45909</v>
      </c>
      <c r="B45" s="86">
        <v>8611.11111111111</v>
      </c>
      <c r="C45" s="86">
        <v>61242.6134717068</v>
      </c>
      <c r="D45" s="423">
        <f>B45+C45</f>
        <v>69853.7245828179</v>
      </c>
      <c r="E45" s="416">
        <v>1185562978.58</v>
      </c>
      <c r="F45" s="426">
        <f>D45*365/E45</f>
        <v>0.021505908950756</v>
      </c>
      <c r="G45" s="357" t="s">
        <v>360</v>
      </c>
    </row>
    <row r="46" spans="1:7">
      <c r="A46" s="427">
        <v>45910</v>
      </c>
      <c r="B46" s="86">
        <v>8611.11111111111</v>
      </c>
      <c r="C46" s="86">
        <v>55929.9569148937</v>
      </c>
      <c r="D46" s="423">
        <f>B46+C46</f>
        <v>64541.0680260048</v>
      </c>
      <c r="E46" s="416">
        <v>1100067645.78</v>
      </c>
      <c r="F46" s="426">
        <f>D46*365/E46</f>
        <v>0.0214145829302964</v>
      </c>
      <c r="G46" s="357" t="s">
        <v>360</v>
      </c>
    </row>
    <row r="47" spans="1:6">
      <c r="A47" s="427">
        <v>45911</v>
      </c>
      <c r="B47" s="86">
        <v>6166.66666666667</v>
      </c>
      <c r="C47" s="86">
        <v>29592.8795386351</v>
      </c>
      <c r="D47" s="423">
        <f>B47+C47</f>
        <v>35759.5462053018</v>
      </c>
      <c r="E47" s="430">
        <v>626231252.22</v>
      </c>
      <c r="F47" s="426">
        <f>D47*365/E47</f>
        <v>0.0208425151550083</v>
      </c>
    </row>
    <row r="48" spans="1:6">
      <c r="A48" s="427">
        <v>45912</v>
      </c>
      <c r="B48" s="86">
        <v>18500</v>
      </c>
      <c r="C48" s="86">
        <v>57217.8343982447</v>
      </c>
      <c r="D48" s="423">
        <f>B48+C48</f>
        <v>75717.8343982447</v>
      </c>
      <c r="E48" s="416">
        <v>1070793155.3</v>
      </c>
      <c r="F48" s="426">
        <f>D48*365/E48</f>
        <v>0.0258098489129923</v>
      </c>
    </row>
    <row r="49" spans="1:6">
      <c r="A49" s="427">
        <v>45913</v>
      </c>
      <c r="B49" s="86">
        <v>0</v>
      </c>
      <c r="C49" s="86">
        <v>57217.8343982447</v>
      </c>
      <c r="D49" s="423">
        <f>B49+C49</f>
        <v>57217.8343982447</v>
      </c>
      <c r="E49" s="429">
        <v>1070793155.3</v>
      </c>
      <c r="F49" s="426">
        <f>D49*365/E49</f>
        <v>0.0195037757310918</v>
      </c>
    </row>
    <row r="50" spans="1:6">
      <c r="A50" s="427">
        <v>45914</v>
      </c>
      <c r="B50" s="86">
        <v>0</v>
      </c>
      <c r="C50" s="86">
        <v>57217.8343982447</v>
      </c>
      <c r="D50" s="423">
        <f>B50+C50</f>
        <v>57217.8343982447</v>
      </c>
      <c r="E50" s="429">
        <v>1070793155.3</v>
      </c>
      <c r="F50" s="426">
        <f>D50*365/E50</f>
        <v>0.0195037757310918</v>
      </c>
    </row>
    <row r="51" spans="1:6">
      <c r="A51" s="427">
        <v>45915</v>
      </c>
      <c r="B51" s="86">
        <v>6375</v>
      </c>
      <c r="C51" s="86">
        <v>57084.9884250781</v>
      </c>
      <c r="D51" s="423">
        <f>B51+C51</f>
        <v>63459.9884250781</v>
      </c>
      <c r="E51" s="416">
        <v>1068655296.29</v>
      </c>
      <c r="F51" s="426">
        <f>D51*365/E51</f>
        <v>0.0216748055762855</v>
      </c>
    </row>
    <row r="52" spans="1:6">
      <c r="A52" s="427">
        <v>45916</v>
      </c>
      <c r="B52" s="86">
        <v>6458.33333333333</v>
      </c>
      <c r="C52" s="86">
        <v>55531.315260578</v>
      </c>
      <c r="D52" s="423">
        <f>B52+C52</f>
        <v>61989.6485939113</v>
      </c>
      <c r="E52" s="416">
        <v>1043652399.37</v>
      </c>
      <c r="F52" s="426">
        <f>D52*365/E52</f>
        <v>0.0216798445061171</v>
      </c>
    </row>
    <row r="53" spans="1:6">
      <c r="A53" s="427">
        <v>45917</v>
      </c>
      <c r="B53" s="86">
        <v>6708.33333333333</v>
      </c>
      <c r="C53" s="86">
        <v>61278.5661022647</v>
      </c>
      <c r="D53" s="423">
        <f>B53+C53</f>
        <v>67986.899435598</v>
      </c>
      <c r="E53" s="416">
        <v>1136141555.81</v>
      </c>
      <c r="F53" s="426">
        <f>D53*365/E53</f>
        <v>0.0218416606338297</v>
      </c>
    </row>
    <row r="54" spans="1:6">
      <c r="A54" s="427">
        <v>45918</v>
      </c>
      <c r="B54" s="86">
        <v>6875</v>
      </c>
      <c r="C54" s="86">
        <v>73182.3628547891</v>
      </c>
      <c r="D54" s="423">
        <f>B54+C54</f>
        <v>80057.3628547891</v>
      </c>
      <c r="E54" s="416">
        <v>1327706558</v>
      </c>
      <c r="F54" s="426">
        <f>D54*365/E54</f>
        <v>0.0220085810873866</v>
      </c>
    </row>
    <row r="55" spans="1:6">
      <c r="A55" s="427">
        <v>45919</v>
      </c>
      <c r="B55" s="86">
        <v>0</v>
      </c>
      <c r="C55" s="86">
        <v>70255.0046591849</v>
      </c>
      <c r="D55" s="423">
        <f>B55+C55</f>
        <v>70255.0046591849</v>
      </c>
      <c r="E55" s="416">
        <v>1130597270.87</v>
      </c>
      <c r="F55" s="426">
        <f>D55*365/E55</f>
        <v>0.022681</v>
      </c>
    </row>
    <row r="56" spans="1:6">
      <c r="A56" s="427">
        <v>45920</v>
      </c>
      <c r="B56" s="86">
        <v>0</v>
      </c>
      <c r="C56" s="86">
        <v>56417.0552279354</v>
      </c>
      <c r="D56" s="423">
        <f>B56+C56</f>
        <v>56417.0552279354</v>
      </c>
      <c r="E56" s="416">
        <v>907906404.4</v>
      </c>
      <c r="F56" s="426">
        <f>D56*365/E56</f>
        <v>0.022681</v>
      </c>
    </row>
    <row r="57" spans="1:6">
      <c r="A57" s="427">
        <v>45921</v>
      </c>
      <c r="B57" s="86">
        <v>0</v>
      </c>
      <c r="C57" s="86">
        <v>56417.0552279354</v>
      </c>
      <c r="D57" s="423">
        <f>B57+C57</f>
        <v>56417.0552279354</v>
      </c>
      <c r="E57" s="429">
        <v>907906404.4</v>
      </c>
      <c r="F57" s="426">
        <f>D57*365/E57</f>
        <v>0.022681</v>
      </c>
    </row>
    <row r="58" spans="1:6">
      <c r="A58" s="427">
        <v>45922</v>
      </c>
      <c r="B58" s="86">
        <v>0</v>
      </c>
      <c r="C58" s="86">
        <v>56417.0552279354</v>
      </c>
      <c r="D58" s="423">
        <f>B58+C58</f>
        <v>56417.0552279354</v>
      </c>
      <c r="E58" s="429">
        <v>907906404.4</v>
      </c>
      <c r="F58" s="426">
        <f>D58*365/E58</f>
        <v>0.022681</v>
      </c>
    </row>
    <row r="59" spans="1:6">
      <c r="A59" s="427">
        <v>45923</v>
      </c>
      <c r="B59" s="86">
        <v>0</v>
      </c>
      <c r="C59" s="86">
        <v>40051.6648199238</v>
      </c>
      <c r="D59" s="423">
        <f>B59+C59</f>
        <v>40051.6648199238</v>
      </c>
      <c r="E59" s="416">
        <v>644542024.57</v>
      </c>
      <c r="F59" s="426">
        <f>D59*365/E59</f>
        <v>0.022681</v>
      </c>
    </row>
    <row r="60" spans="1:6">
      <c r="A60" s="427">
        <v>45924</v>
      </c>
      <c r="B60" s="86">
        <v>0</v>
      </c>
      <c r="C60" s="86">
        <v>43048.2544831502</v>
      </c>
      <c r="D60" s="423">
        <f>B60+C60</f>
        <v>43048.2544831502</v>
      </c>
      <c r="E60" s="416">
        <v>692765437.43</v>
      </c>
      <c r="F60" s="426">
        <f>D60*365/E60</f>
        <v>0.022681</v>
      </c>
    </row>
    <row r="61" spans="1:6">
      <c r="A61" s="427">
        <v>45925</v>
      </c>
      <c r="B61" s="86">
        <v>0</v>
      </c>
      <c r="C61" s="86">
        <v>52470.0264961844</v>
      </c>
      <c r="D61" s="423">
        <f>B61+C61</f>
        <v>52470.0264961844</v>
      </c>
      <c r="E61" s="416">
        <v>874380663.43</v>
      </c>
      <c r="F61" s="426">
        <f>D61*365/E61</f>
        <v>0.021903</v>
      </c>
    </row>
    <row r="62" spans="1:6">
      <c r="A62" s="427">
        <v>45926</v>
      </c>
      <c r="B62" s="86">
        <v>0</v>
      </c>
      <c r="C62" s="86">
        <v>52470.0264961844</v>
      </c>
      <c r="D62" s="423">
        <f>B62+C62</f>
        <v>52470.0264961844</v>
      </c>
      <c r="E62" s="429">
        <v>874380663.43</v>
      </c>
      <c r="F62" s="426">
        <f>D62*365/E62</f>
        <v>0.021903</v>
      </c>
    </row>
    <row r="63" spans="1:6">
      <c r="A63" s="427">
        <v>45927</v>
      </c>
      <c r="B63" s="86">
        <v>0</v>
      </c>
      <c r="C63" s="86">
        <v>52470.0264961844</v>
      </c>
      <c r="D63" s="423">
        <f>B63+C63</f>
        <v>52470.0264961844</v>
      </c>
      <c r="E63" s="429">
        <v>874380663.43</v>
      </c>
      <c r="F63" s="426">
        <f>D63*365/E63</f>
        <v>0.021903</v>
      </c>
    </row>
    <row r="64" spans="1:6">
      <c r="A64" s="427">
        <v>45928</v>
      </c>
      <c r="B64" s="86">
        <v>0</v>
      </c>
      <c r="C64" s="86">
        <v>52470.0264961844</v>
      </c>
      <c r="D64" s="423">
        <f>B64+C64</f>
        <v>52470.0264961844</v>
      </c>
      <c r="E64" s="429">
        <v>874380663.43</v>
      </c>
      <c r="F64" s="426">
        <f>D64*365/E64</f>
        <v>0.021903</v>
      </c>
    </row>
    <row r="65" spans="1:6">
      <c r="A65" s="427">
        <v>45929</v>
      </c>
      <c r="B65" s="86">
        <v>0</v>
      </c>
      <c r="C65" s="86">
        <v>59796.4004127873</v>
      </c>
      <c r="D65" s="423">
        <f>B65+C65</f>
        <v>59796.4004127873</v>
      </c>
      <c r="E65" s="416">
        <v>996470170.783334</v>
      </c>
      <c r="F65" s="426">
        <f>D65*365/E65</f>
        <v>0.021903</v>
      </c>
    </row>
    <row r="66" spans="1:6">
      <c r="A66" s="427">
        <v>45930</v>
      </c>
      <c r="B66" s="86">
        <v>0</v>
      </c>
      <c r="C66" s="86">
        <v>57343.3785436195</v>
      </c>
      <c r="D66" s="423">
        <f>B66+C66</f>
        <v>57343.3785436195</v>
      </c>
      <c r="E66" s="416">
        <v>955592072.703334</v>
      </c>
      <c r="F66" s="426">
        <f>D66*365/E66</f>
        <v>0.021903</v>
      </c>
    </row>
    <row r="67" spans="1:6">
      <c r="A67" s="427">
        <v>45931</v>
      </c>
      <c r="B67" s="86">
        <v>0</v>
      </c>
      <c r="C67" s="86">
        <v>57343.3785436195</v>
      </c>
      <c r="D67" s="423">
        <f>B67+C67</f>
        <v>57343.3785436195</v>
      </c>
      <c r="E67" s="429">
        <v>955592072.703334</v>
      </c>
      <c r="F67" s="426">
        <f>D67*365/E67</f>
        <v>0.021903</v>
      </c>
    </row>
    <row r="68" spans="1:6">
      <c r="A68" s="427">
        <v>45932</v>
      </c>
      <c r="B68" s="86">
        <v>0</v>
      </c>
      <c r="C68" s="86">
        <v>57343.3785436195</v>
      </c>
      <c r="D68" s="423">
        <f>B68+C68</f>
        <v>57343.3785436195</v>
      </c>
      <c r="E68" s="429">
        <v>955592072.703334</v>
      </c>
      <c r="F68" s="426">
        <f>D68*365/E68</f>
        <v>0.021903</v>
      </c>
    </row>
    <row r="69" spans="1:6">
      <c r="A69" s="427">
        <v>45933</v>
      </c>
      <c r="B69" s="86">
        <v>0</v>
      </c>
      <c r="C69" s="86">
        <v>57343.3785436195</v>
      </c>
      <c r="D69" s="423">
        <f>B69+C69</f>
        <v>57343.3785436195</v>
      </c>
      <c r="E69" s="429">
        <v>955592072.703334</v>
      </c>
      <c r="F69" s="426">
        <f>D69*365/E69</f>
        <v>0.021903</v>
      </c>
    </row>
    <row r="70" spans="1:6">
      <c r="A70" s="427">
        <v>45934</v>
      </c>
      <c r="B70" s="86">
        <v>0</v>
      </c>
      <c r="C70" s="86">
        <v>57343.3785436195</v>
      </c>
      <c r="D70" s="423">
        <f>B70+C70</f>
        <v>57343.3785436195</v>
      </c>
      <c r="E70" s="429">
        <v>955592072.703334</v>
      </c>
      <c r="F70" s="426">
        <f>D70*365/E70</f>
        <v>0.021903</v>
      </c>
    </row>
    <row r="71" spans="1:6">
      <c r="A71" s="427">
        <v>45935</v>
      </c>
      <c r="B71" s="86">
        <v>0</v>
      </c>
      <c r="C71" s="86">
        <v>57343.3785436195</v>
      </c>
      <c r="D71" s="423">
        <f>B71+C71</f>
        <v>57343.3785436195</v>
      </c>
      <c r="E71" s="429">
        <v>955592072.703334</v>
      </c>
      <c r="F71" s="426">
        <f>D71*365/E71</f>
        <v>0.021903</v>
      </c>
    </row>
    <row r="72" spans="1:6">
      <c r="A72" s="427">
        <v>45936</v>
      </c>
      <c r="B72" s="86">
        <v>0</v>
      </c>
      <c r="C72" s="86">
        <v>57343.3785436195</v>
      </c>
      <c r="D72" s="423">
        <f>B72+C72</f>
        <v>57343.3785436195</v>
      </c>
      <c r="E72" s="429">
        <v>955592072.703334</v>
      </c>
      <c r="F72" s="426">
        <f>D72*365/E72</f>
        <v>0.021903</v>
      </c>
    </row>
    <row r="73" spans="1:6">
      <c r="A73" s="427">
        <v>45937</v>
      </c>
      <c r="B73" s="86">
        <v>0</v>
      </c>
      <c r="C73" s="86">
        <v>57343.3785436195</v>
      </c>
      <c r="D73" s="423">
        <f>B73+C73</f>
        <v>57343.3785436195</v>
      </c>
      <c r="E73" s="429">
        <v>955592072.703334</v>
      </c>
      <c r="F73" s="426">
        <f>D73*365/E73</f>
        <v>0.021903</v>
      </c>
    </row>
    <row r="74" spans="1:6">
      <c r="A74" s="427">
        <v>45938</v>
      </c>
      <c r="B74" s="86">
        <v>0</v>
      </c>
      <c r="C74" s="86">
        <v>57343.3785436195</v>
      </c>
      <c r="D74" s="423">
        <f>B74+C74</f>
        <v>57343.3785436195</v>
      </c>
      <c r="E74" s="429">
        <v>955592072.703334</v>
      </c>
      <c r="F74" s="426">
        <f>D74*365/E74</f>
        <v>0.021903</v>
      </c>
    </row>
    <row r="75" spans="1:6">
      <c r="A75" s="427">
        <v>45939</v>
      </c>
      <c r="B75" s="86">
        <v>0</v>
      </c>
      <c r="C75" s="86">
        <v>57066.735733992</v>
      </c>
      <c r="D75" s="423">
        <f>B75+C75</f>
        <v>57066.735733992</v>
      </c>
      <c r="E75" s="416">
        <v>945585552.156667</v>
      </c>
      <c r="F75" s="426">
        <f>D75*365/E75</f>
        <v>0.022028</v>
      </c>
    </row>
    <row r="76" spans="1:6">
      <c r="A76" s="427">
        <v>45940</v>
      </c>
      <c r="B76" s="86">
        <v>0</v>
      </c>
      <c r="C76" s="431" t="s"/>
      <c r="D76" s="423">
        <f>B76+C76</f>
        <v>0</v>
      </c>
      <c r="E76" s="429" t="s"/>
      <c r="F76" s="426" t="e">
        <f>D76*365/E76</f>
        <v>#DIV/0!</v>
      </c>
    </row>
    <row r="77" spans="1:6">
      <c r="A77" s="427">
        <v>45941</v>
      </c>
      <c r="D77" s="423">
        <f>B77+C77</f>
        <v>0</v>
      </c>
      <c r="E77" s="429" t="s"/>
      <c r="F77" s="426" t="e">
        <f>D77*365/E77</f>
        <v>#DIV/0!</v>
      </c>
    </row>
    <row r="78" spans="1:6">
      <c r="A78" s="427">
        <v>45942</v>
      </c>
      <c r="D78" s="423">
        <f>B78+C78</f>
        <v>0</v>
      </c>
      <c r="E78" s="429" t="s"/>
      <c r="F78" s="426" t="e">
        <f>D78*365/E78</f>
        <v>#DIV/0!</v>
      </c>
    </row>
    <row r="79" spans="1:6">
      <c r="A79" s="427">
        <v>45943</v>
      </c>
      <c r="B79" s="86">
        <v>0</v>
      </c>
      <c r="C79" s="86">
        <v>51565.7430502226</v>
      </c>
      <c r="D79" s="423">
        <f>B79+C79</f>
        <v>51565.7430502226</v>
      </c>
      <c r="E79" s="429">
        <v>854435092.306667</v>
      </c>
      <c r="F79" s="426">
        <f>D79*365/E79</f>
        <v>0.022028</v>
      </c>
    </row>
    <row r="80" spans="1:6">
      <c r="A80" s="427">
        <v>45944</v>
      </c>
      <c r="B80" s="86">
        <v>0</v>
      </c>
      <c r="C80" s="86">
        <v>47224.2518999465</v>
      </c>
      <c r="D80" s="423">
        <f>B80+C80</f>
        <v>47224.2518999465</v>
      </c>
      <c r="E80" s="429">
        <v>782497364.421667</v>
      </c>
      <c r="F80" s="426">
        <f>D80*365/E80</f>
        <v>0.022028</v>
      </c>
    </row>
    <row r="81" spans="1:6">
      <c r="A81" s="427">
        <v>45945</v>
      </c>
      <c r="B81" s="86">
        <v>0</v>
      </c>
      <c r="C81" s="86">
        <v>52525.3147944409</v>
      </c>
      <c r="D81" s="423">
        <f>B81+C81</f>
        <v>52525.3147944409</v>
      </c>
      <c r="E81" s="429">
        <v>870335023.605</v>
      </c>
      <c r="F81" s="426">
        <f>D81*365/E81</f>
        <v>0.022028</v>
      </c>
    </row>
    <row r="82" spans="1:6">
      <c r="A82" s="427">
        <v>45946</v>
      </c>
      <c r="B82" s="86">
        <v>0</v>
      </c>
      <c r="C82" s="86">
        <v>50109.9879560057</v>
      </c>
      <c r="D82" s="423">
        <f>B82+C82</f>
        <v>50109.9879560057</v>
      </c>
      <c r="E82" s="429">
        <v>830313492.098333</v>
      </c>
      <c r="F82" s="426">
        <f>D82*365/E82</f>
        <v>0.022028</v>
      </c>
    </row>
    <row r="83" spans="1:6">
      <c r="A83" s="427">
        <v>45947</v>
      </c>
      <c r="B83" s="86">
        <v>0</v>
      </c>
      <c r="C83" s="86">
        <v>46679.4271059127</v>
      </c>
      <c r="D83" s="423">
        <f>B83+C83</f>
        <v>46679.4271059127</v>
      </c>
      <c r="E83" s="429">
        <v>773469715.528333</v>
      </c>
      <c r="F83" s="426">
        <f>D83*365/E83</f>
        <v>0.022028</v>
      </c>
    </row>
    <row r="84" spans="1:6">
      <c r="A84" s="427">
        <v>45948</v>
      </c>
      <c r="D84" s="423">
        <f>B84+C84</f>
        <v>0</v>
      </c>
      <c r="E84" s="429" t="s"/>
      <c r="F84" s="426" t="e">
        <f>D84*365/E84</f>
        <v>#DIV/0!</v>
      </c>
    </row>
    <row r="85" spans="1:6">
      <c r="A85" s="427">
        <v>45949</v>
      </c>
      <c r="D85" s="423">
        <f>B85+C85</f>
        <v>0</v>
      </c>
      <c r="E85" s="429" t="s"/>
      <c r="F85" s="426" t="e">
        <f>D85*365/E85</f>
        <v>#DIV/0!</v>
      </c>
    </row>
    <row r="86" spans="1:6">
      <c r="A86" s="427">
        <v>45950</v>
      </c>
      <c r="B86" s="86">
        <v>0</v>
      </c>
      <c r="C86" s="86">
        <v>42448.4727203515</v>
      </c>
      <c r="D86" s="423">
        <f>B86+C86</f>
        <v>42448.4727203515</v>
      </c>
      <c r="E86" s="429">
        <v>703363561.963333</v>
      </c>
      <c r="F86" s="426">
        <f>D86*365/E86</f>
        <v>0.022028</v>
      </c>
    </row>
    <row r="87" spans="1:6">
      <c r="A87" s="427">
        <v>45951</v>
      </c>
      <c r="B87" s="86">
        <v>0</v>
      </c>
      <c r="C87" s="86">
        <v>49065.7886616733</v>
      </c>
      <c r="D87" s="423">
        <f>B87+C87</f>
        <v>49065.7886616733</v>
      </c>
      <c r="E87" s="429">
        <v>813011297.508205</v>
      </c>
      <c r="F87" s="426">
        <f>D87*365/E87</f>
        <v>0.022028</v>
      </c>
    </row>
    <row r="88" spans="1:6">
      <c r="A88" s="427">
        <v>45952</v>
      </c>
      <c r="B88" s="86">
        <v>0</v>
      </c>
      <c r="C88" s="86">
        <v>39049.4724138318</v>
      </c>
      <c r="D88" s="423">
        <f>B88+C88</f>
        <v>39049.4724138318</v>
      </c>
      <c r="E88" s="429">
        <v>647042737.926667</v>
      </c>
      <c r="F88" s="426">
        <f>D88*365/E88</f>
        <v>0.022028</v>
      </c>
    </row>
    <row r="89" spans="1:6">
      <c r="A89" s="427">
        <v>45953</v>
      </c>
      <c r="B89" s="86">
        <v>0</v>
      </c>
      <c r="C89" s="86">
        <v>37692.5553562212</v>
      </c>
      <c r="D89" s="423">
        <f>B89+C89</f>
        <v>37692.5553562212</v>
      </c>
      <c r="E89" s="429">
        <v>624558866.216667</v>
      </c>
      <c r="F89" s="426">
        <f>D89*365/E89</f>
        <v>0.022028</v>
      </c>
    </row>
    <row r="90" spans="1:6">
      <c r="A90" s="427">
        <v>45954</v>
      </c>
      <c r="B90" s="86">
        <v>0</v>
      </c>
      <c r="C90" s="86">
        <v>39987.3213596112</v>
      </c>
      <c r="D90" s="423">
        <f>B90+C90</f>
        <v>39987.3213596112</v>
      </c>
      <c r="E90" s="429">
        <v>662582726.36</v>
      </c>
      <c r="F90" s="426">
        <f>D90*365/E90</f>
        <v>0.022028</v>
      </c>
    </row>
    <row r="91" spans="1:6">
      <c r="A91" s="427">
        <v>45955</v>
      </c>
      <c r="D91" s="423">
        <f>B91+C91</f>
        <v>0</v>
      </c>
      <c r="E91" s="429" t="s"/>
      <c r="F91" s="426" t="e">
        <f>D91*365/E91</f>
        <v>#DIV/0!</v>
      </c>
    </row>
    <row r="92" spans="1:6">
      <c r="A92" s="427">
        <v>45956</v>
      </c>
      <c r="D92" s="423">
        <f>B92+C92</f>
        <v>0</v>
      </c>
      <c r="E92" s="429" t="s"/>
      <c r="F92" s="426" t="e">
        <f>D92*365/E92</f>
        <v>#DIV/0!</v>
      </c>
    </row>
    <row r="93" spans="1:6">
      <c r="A93" s="427">
        <v>45957</v>
      </c>
      <c r="B93" s="86">
        <v>0</v>
      </c>
      <c r="C93" s="86">
        <v>33094.5144985271</v>
      </c>
      <c r="D93" s="423">
        <f>B93+C93</f>
        <v>33094.5144985271</v>
      </c>
      <c r="E93" s="429">
        <v>548370155.8</v>
      </c>
      <c r="F93" s="426">
        <f>D93*365/E93</f>
        <v>0.022028</v>
      </c>
    </row>
    <row r="94" spans="1:6">
      <c r="A94" s="427">
        <v>45958</v>
      </c>
      <c r="B94" s="86">
        <v>0</v>
      </c>
      <c r="C94" s="86">
        <v>41312.5506654689</v>
      </c>
      <c r="D94" s="423">
        <f>B94+C94</f>
        <v>41312.5506654689</v>
      </c>
      <c r="E94" s="429">
        <v>684541537.72</v>
      </c>
      <c r="F94" s="426">
        <f>D94*365/E94</f>
        <v>0.022028</v>
      </c>
    </row>
    <row r="95" spans="1:6">
      <c r="A95" s="427">
        <v>45959</v>
      </c>
      <c r="B95" s="86">
        <v>0</v>
      </c>
      <c r="C95" s="86">
        <v>38677.521176488</v>
      </c>
      <c r="D95" s="423">
        <f>B95+C95</f>
        <v>38677.521176488</v>
      </c>
      <c r="E95" s="429">
        <v>640879572.79</v>
      </c>
      <c r="F95" s="426">
        <f>D95*365/E95</f>
        <v>0.022028</v>
      </c>
    </row>
    <row r="96" spans="1:6">
      <c r="A96" s="427">
        <v>45960</v>
      </c>
      <c r="B96" s="86">
        <v>0</v>
      </c>
      <c r="C96" s="86">
        <v>40444.1485065252</v>
      </c>
      <c r="D96" s="423">
        <f>B96+C96</f>
        <v>40444.1485065252</v>
      </c>
      <c r="E96" s="429">
        <v>670152270.06</v>
      </c>
      <c r="F96" s="426">
        <f>D96*365/E96</f>
        <v>0.022028</v>
      </c>
    </row>
    <row r="97" spans="1:6">
      <c r="A97" s="427">
        <v>45961</v>
      </c>
      <c r="B97" s="86">
        <v>0</v>
      </c>
      <c r="C97" s="86">
        <v>49422.569389104</v>
      </c>
      <c r="D97" s="423">
        <f>B97+C97</f>
        <v>49422.569389104</v>
      </c>
      <c r="E97" s="432">
        <v>799717951.28</v>
      </c>
      <c r="F97" s="426">
        <f>D97*365/E97</f>
        <v>0.022557</v>
      </c>
    </row>
    <row r="98" spans="1:6">
      <c r="A98" s="427">
        <v>45962</v>
      </c>
      <c r="B98" s="86">
        <v>0</v>
      </c>
      <c r="C98" s="431">
        <v>47138.308445562</v>
      </c>
      <c r="D98" s="423">
        <f>B98+C98</f>
        <v>47138.308445562</v>
      </c>
      <c r="E98" s="433">
        <v>762755800.09</v>
      </c>
      <c r="F98" s="426">
        <f>D98*365/E98</f>
        <v>0.022557</v>
      </c>
    </row>
    <row r="99" spans="1:6">
      <c r="A99" s="427">
        <v>45963</v>
      </c>
      <c r="B99" s="86">
        <v>0</v>
      </c>
      <c r="C99" s="431">
        <v>47138.308445562</v>
      </c>
      <c r="D99" s="423">
        <f>B99+C99</f>
        <v>47138.308445562</v>
      </c>
      <c r="E99" s="433">
        <v>762755800.09</v>
      </c>
      <c r="F99" s="426">
        <f>D99*365/E99</f>
        <v>0.022557</v>
      </c>
    </row>
    <row r="100" spans="1:6">
      <c r="A100" s="427">
        <v>45964</v>
      </c>
      <c r="B100" s="86">
        <v>0</v>
      </c>
      <c r="C100" s="431">
        <v>45176.620599558</v>
      </c>
      <c r="D100" s="423">
        <f>B100+C100</f>
        <v>45176.620599558</v>
      </c>
      <c r="E100" s="433">
        <v>731013278.31</v>
      </c>
      <c r="F100" s="426">
        <f>D100*365/E100</f>
        <v>0.022557</v>
      </c>
    </row>
    <row r="101" spans="1:6">
      <c r="A101" s="427">
        <v>45965</v>
      </c>
      <c r="B101" s="86">
        <v>0</v>
      </c>
      <c r="C101" s="431">
        <v>50343.0200780568</v>
      </c>
      <c r="D101" s="423">
        <f>B101+C101</f>
        <v>50343.0200780568</v>
      </c>
      <c r="E101" s="433">
        <v>802550765.57</v>
      </c>
      <c r="F101" s="426">
        <f>D101*365/E101</f>
        <v>0.022896</v>
      </c>
    </row>
    <row r="102" spans="1:6">
      <c r="A102" s="427">
        <v>45966</v>
      </c>
      <c r="B102" s="86">
        <v>0</v>
      </c>
      <c r="C102" s="431">
        <v>41909.2587310409</v>
      </c>
      <c r="D102" s="423">
        <f>B102+C102</f>
        <v>41909.2587310409</v>
      </c>
      <c r="E102" s="433">
        <v>668102700.77</v>
      </c>
      <c r="F102" s="426">
        <f>D102*365/E102</f>
        <v>0.022896</v>
      </c>
    </row>
    <row r="103" spans="1:6">
      <c r="A103" s="427">
        <v>45967</v>
      </c>
      <c r="B103" s="86">
        <v>0</v>
      </c>
      <c r="C103" s="431">
        <v>51445.8722060541</v>
      </c>
      <c r="D103" s="423">
        <f>B103+C103</f>
        <v>51445.8722060541</v>
      </c>
      <c r="E103" s="433">
        <v>820132047.31</v>
      </c>
      <c r="F103" s="426">
        <f>D103*365/E103</f>
        <v>0.022896</v>
      </c>
    </row>
    <row r="104" spans="1:6">
      <c r="A104" s="427">
        <v>45968</v>
      </c>
      <c r="B104" s="86">
        <v>0</v>
      </c>
      <c r="C104" s="431">
        <v>48562.1056048872</v>
      </c>
      <c r="D104" s="423">
        <f>B104+C104</f>
        <v>48562.1056048872</v>
      </c>
      <c r="E104" s="433">
        <v>774160051.79</v>
      </c>
      <c r="F104" s="426">
        <f>D104*365/E104</f>
        <v>0.022896</v>
      </c>
    </row>
    <row r="105" spans="1:6">
      <c r="A105" s="427">
        <v>45969</v>
      </c>
      <c r="B105" s="86">
        <v>0</v>
      </c>
      <c r="C105" s="431">
        <v>48562.1056048872</v>
      </c>
      <c r="D105" s="423">
        <f>B105+C105</f>
        <v>48562.1056048872</v>
      </c>
      <c r="E105" s="433">
        <v>774160051.79</v>
      </c>
      <c r="F105" s="426">
        <f>D105*365/E105</f>
        <v>0.022896</v>
      </c>
    </row>
    <row r="106" spans="1:6">
      <c r="A106" s="427">
        <v>45970</v>
      </c>
      <c r="B106" s="86">
        <v>0</v>
      </c>
      <c r="C106" s="431">
        <v>48562.1056048872</v>
      </c>
      <c r="D106" s="423">
        <f>B106+C106</f>
        <v>48562.1056048872</v>
      </c>
      <c r="E106" s="433">
        <v>774160051.79</v>
      </c>
      <c r="F106" s="426">
        <f>D106*365/E106</f>
        <v>0.022896</v>
      </c>
    </row>
    <row r="107" spans="1:6">
      <c r="A107" s="427">
        <v>45971</v>
      </c>
      <c r="B107" s="86">
        <v>0</v>
      </c>
      <c r="C107" s="431">
        <v>48570.9125606966</v>
      </c>
      <c r="D107" s="423">
        <f>B107+C107</f>
        <v>48570.9125606966</v>
      </c>
      <c r="E107" s="433">
        <v>774300449.19</v>
      </c>
      <c r="F107" s="426">
        <f>D107*365/E107</f>
        <v>0.022896</v>
      </c>
    </row>
    <row r="108" spans="1:6">
      <c r="A108" s="427">
        <v>45972</v>
      </c>
      <c r="B108" s="86">
        <v>0</v>
      </c>
      <c r="C108" s="431">
        <v>48751.3754290337</v>
      </c>
      <c r="D108" s="423">
        <f>B108+C108</f>
        <v>48751.3754290337</v>
      </c>
      <c r="E108" s="433">
        <v>777177324.93</v>
      </c>
      <c r="F108" s="426">
        <f>D108*365/E108</f>
        <v>0.022896</v>
      </c>
    </row>
    <row r="109" spans="1:6">
      <c r="A109" s="427">
        <v>45973</v>
      </c>
      <c r="B109" s="86">
        <v>0</v>
      </c>
      <c r="C109" s="431">
        <v>46168.9935962951</v>
      </c>
      <c r="D109" s="423">
        <f>B109+C109</f>
        <v>46168.9935962951</v>
      </c>
      <c r="E109" s="433">
        <v>736202824.93</v>
      </c>
      <c r="F109" s="426">
        <f>D109*365/E109</f>
        <v>0.02289</v>
      </c>
    </row>
    <row r="110" spans="1:6">
      <c r="A110" s="427">
        <v>45974</v>
      </c>
      <c r="B110" s="86">
        <v>0</v>
      </c>
      <c r="C110" s="431">
        <v>49983.2812160145</v>
      </c>
      <c r="D110" s="423">
        <f>B110+C110</f>
        <v>49983.2812160145</v>
      </c>
      <c r="E110" s="433">
        <v>797024798.77</v>
      </c>
      <c r="F110" s="426">
        <f>D110*365/E110</f>
        <v>0.02289</v>
      </c>
    </row>
    <row r="111" spans="1:6">
      <c r="A111" s="427">
        <v>45975</v>
      </c>
      <c r="B111" s="86">
        <v>0</v>
      </c>
      <c r="C111" s="431">
        <v>42695.3183680605</v>
      </c>
      <c r="D111" s="423">
        <f>B111+C111</f>
        <v>42695.3183680605</v>
      </c>
      <c r="E111" s="433">
        <v>680010088.77</v>
      </c>
      <c r="F111" s="426">
        <f>D111*365/E111</f>
        <v>0.022917</v>
      </c>
    </row>
    <row r="112" spans="1:6">
      <c r="A112" s="427">
        <v>45976</v>
      </c>
      <c r="B112" s="86">
        <v>0</v>
      </c>
      <c r="C112" s="431">
        <v>42695.3183680605</v>
      </c>
      <c r="D112" s="423">
        <f>B112+C112</f>
        <v>42695.3183680605</v>
      </c>
      <c r="E112" s="433">
        <v>680010088.77</v>
      </c>
      <c r="F112" s="426">
        <f>D112*365/E112</f>
        <v>0.022917</v>
      </c>
    </row>
    <row r="113" spans="1:6">
      <c r="A113" s="427">
        <v>45977</v>
      </c>
      <c r="B113" s="86">
        <v>0</v>
      </c>
      <c r="C113" s="431">
        <v>42695.3183680605</v>
      </c>
      <c r="D113" s="423">
        <f>B113+C113</f>
        <v>42695.3183680605</v>
      </c>
      <c r="E113" s="433">
        <v>680010088.77</v>
      </c>
      <c r="F113" s="426">
        <f>D113*365/E113</f>
        <v>0.022917</v>
      </c>
    </row>
    <row r="114" spans="1:6">
      <c r="A114" s="427">
        <v>45978</v>
      </c>
      <c r="B114" s="86">
        <v>0</v>
      </c>
      <c r="C114" s="431">
        <v>46524.6783430592</v>
      </c>
      <c r="D114" s="423">
        <f>B114+C114</f>
        <v>46524.6783430592</v>
      </c>
      <c r="E114" s="433">
        <v>741000462.33</v>
      </c>
      <c r="F114" s="426">
        <f>D114*365/E114</f>
        <v>0.022917</v>
      </c>
    </row>
    <row r="115" spans="1:6">
      <c r="A115" s="427">
        <v>45979</v>
      </c>
      <c r="B115" s="86">
        <v>0</v>
      </c>
      <c r="C115" s="431">
        <v>43702.885042769</v>
      </c>
      <c r="D115" s="423">
        <f>B115+C115</f>
        <v>43702.885042769</v>
      </c>
      <c r="E115" s="433">
        <v>696057644.57</v>
      </c>
      <c r="F115" s="426">
        <f>D115*365/E115</f>
        <v>0.022917</v>
      </c>
    </row>
    <row r="116" spans="1:6">
      <c r="A116" s="427">
        <v>45980</v>
      </c>
      <c r="B116" s="86">
        <v>0</v>
      </c>
      <c r="C116" s="431">
        <v>42532.8391147908</v>
      </c>
      <c r="D116" s="423">
        <f>B116+C116</f>
        <v>42532.8391147908</v>
      </c>
      <c r="E116" s="433">
        <v>675888644.56</v>
      </c>
      <c r="F116" s="426">
        <f>D116*365/E116</f>
        <v>0.022969</v>
      </c>
    </row>
    <row r="117" spans="1:6">
      <c r="A117" s="427">
        <v>45981</v>
      </c>
      <c r="B117" s="86">
        <v>0</v>
      </c>
      <c r="C117" s="431">
        <v>37222.4988978952</v>
      </c>
      <c r="D117" s="423">
        <f>B117+C117</f>
        <v>37222.4988978952</v>
      </c>
      <c r="E117" s="433">
        <v>594036644.56</v>
      </c>
      <c r="F117" s="426">
        <f>D117*365/E117</f>
        <v>0.022871</v>
      </c>
    </row>
    <row r="118" spans="1:6">
      <c r="A118" s="427">
        <v>45982</v>
      </c>
      <c r="B118" s="86">
        <v>0</v>
      </c>
      <c r="C118" s="431">
        <v>37458.4523214597</v>
      </c>
      <c r="D118" s="423">
        <f>B118+C118</f>
        <v>37458.4523214597</v>
      </c>
      <c r="E118" s="433">
        <v>599190774.71</v>
      </c>
      <c r="F118" s="426">
        <f>D118*365/E118</f>
        <v>0.022818</v>
      </c>
    </row>
    <row r="119" spans="1:6">
      <c r="A119" s="427">
        <v>45983</v>
      </c>
      <c r="B119" s="86">
        <v>0</v>
      </c>
      <c r="C119" s="431">
        <v>37458.4523214597</v>
      </c>
      <c r="D119" s="423">
        <f>B119+C119</f>
        <v>37458.4523214597</v>
      </c>
      <c r="E119" s="433">
        <v>599190774.71</v>
      </c>
      <c r="F119" s="426">
        <f>D119*365/E119</f>
        <v>0.022818</v>
      </c>
    </row>
    <row r="120" spans="1:6">
      <c r="A120" s="427">
        <v>45984</v>
      </c>
      <c r="B120" s="86">
        <v>0</v>
      </c>
      <c r="C120" s="431">
        <v>37458.4523214597</v>
      </c>
      <c r="D120" s="423">
        <f>B120+C120</f>
        <v>37458.4523214597</v>
      </c>
      <c r="E120" s="433">
        <v>599190774.71</v>
      </c>
      <c r="F120" s="426">
        <f>D120*365/E120</f>
        <v>0.022818</v>
      </c>
    </row>
    <row r="121" spans="1:6">
      <c r="A121" s="427">
        <v>45985</v>
      </c>
      <c r="B121" s="86">
        <v>0</v>
      </c>
      <c r="C121" s="431">
        <v>41671.7778387132</v>
      </c>
      <c r="D121" s="423">
        <f>B121+C121</f>
        <v>41671.7778387132</v>
      </c>
      <c r="E121" s="433">
        <v>667992925.39</v>
      </c>
      <c r="F121" s="426">
        <f>D121*365/E121</f>
        <v>0.02277</v>
      </c>
    </row>
    <row r="122" spans="1:6">
      <c r="A122" s="427">
        <v>45986</v>
      </c>
      <c r="B122" s="86">
        <v>0</v>
      </c>
      <c r="C122" s="431">
        <v>40716.591772264</v>
      </c>
      <c r="D122" s="423">
        <f>B122+C122</f>
        <v>40716.591772264</v>
      </c>
      <c r="E122" s="433">
        <v>647167566.49</v>
      </c>
      <c r="F122" s="426">
        <f>D122*365/E122</f>
        <v>0.022964</v>
      </c>
    </row>
    <row r="123" spans="1:6">
      <c r="A123" s="427">
        <v>45987</v>
      </c>
      <c r="B123" s="86">
        <v>0</v>
      </c>
      <c r="C123" s="431">
        <v>37486.0575694957</v>
      </c>
      <c r="D123" s="423">
        <f>B123+C123</f>
        <v>37486.0575694957</v>
      </c>
      <c r="E123" s="433">
        <v>596755539.64</v>
      </c>
      <c r="F123" s="426">
        <f>D123*365/E123</f>
        <v>0.022928</v>
      </c>
    </row>
    <row r="124" spans="1:6">
      <c r="A124" s="427">
        <v>45988</v>
      </c>
      <c r="B124" s="86">
        <v>0</v>
      </c>
      <c r="C124" s="431">
        <v>40052.2935927229</v>
      </c>
      <c r="D124" s="423">
        <f>B124+C124</f>
        <v>40052.2935927229</v>
      </c>
      <c r="E124" s="433">
        <v>637608477.03</v>
      </c>
      <c r="F124" s="426">
        <f>D124*365/E124</f>
        <v>0.022928</v>
      </c>
    </row>
    <row r="125" spans="1:6">
      <c r="A125" s="427">
        <v>45989</v>
      </c>
      <c r="B125" s="86">
        <v>0</v>
      </c>
      <c r="C125" s="431">
        <v>33687.5207790419</v>
      </c>
      <c r="D125" s="423">
        <f>B125+C125</f>
        <v>33687.5207790419</v>
      </c>
      <c r="E125" s="433">
        <v>538422081.9</v>
      </c>
      <c r="F125" s="426">
        <f>D125*365/E125</f>
        <v>0.022837</v>
      </c>
    </row>
    <row r="126" spans="1:6">
      <c r="A126" s="427">
        <v>45990</v>
      </c>
      <c r="B126" s="86">
        <v>0</v>
      </c>
      <c r="C126" s="431">
        <v>33687.5207790419</v>
      </c>
      <c r="D126" s="423">
        <f>B126+C126</f>
        <v>33687.5207790419</v>
      </c>
      <c r="E126" s="433">
        <v>538422081.9</v>
      </c>
      <c r="F126" s="426">
        <f>D126*365/E126</f>
        <v>0.022837</v>
      </c>
    </row>
    <row r="127" spans="1:6">
      <c r="A127" s="427">
        <v>45991</v>
      </c>
      <c r="B127" s="86">
        <v>0</v>
      </c>
      <c r="C127" s="431">
        <v>33687.5207790419</v>
      </c>
      <c r="D127" s="423">
        <f>B127+C127</f>
        <v>33687.5207790419</v>
      </c>
      <c r="E127" s="433">
        <v>538422081.9</v>
      </c>
      <c r="F127" s="426">
        <f>D127*365/E127</f>
        <v>0.022837</v>
      </c>
    </row>
    <row r="128" spans="1:6">
      <c r="A128" s="427">
        <v>45992</v>
      </c>
      <c r="B128" s="86">
        <v>0</v>
      </c>
      <c r="C128" s="431">
        <v>33731.7055060918</v>
      </c>
      <c r="D128" s="423">
        <f>B128+C128</f>
        <v>33731.7055060918</v>
      </c>
      <c r="E128" s="433">
        <v>538468073.9</v>
      </c>
      <c r="F128" s="426">
        <f>D128*365/E128</f>
        <v>0.022865</v>
      </c>
    </row>
    <row r="129" spans="1:6">
      <c r="A129" s="427">
        <v>45993</v>
      </c>
      <c r="B129" s="86">
        <v>0</v>
      </c>
      <c r="C129" s="431">
        <v>33734.5866840233</v>
      </c>
      <c r="D129" s="423">
        <f>B129+C129</f>
        <v>33734.5866840233</v>
      </c>
      <c r="E129" s="433">
        <v>538514066.9</v>
      </c>
      <c r="F129" s="426">
        <f>D129*365/E129</f>
        <v>0.022865</v>
      </c>
    </row>
    <row r="130" spans="1:6">
      <c r="A130" s="427">
        <v>45994</v>
      </c>
      <c r="B130" s="86">
        <v>0</v>
      </c>
      <c r="C130" s="431">
        <v>33737.4679245986</v>
      </c>
      <c r="D130" s="423">
        <f>B130+C130</f>
        <v>33737.4679245986</v>
      </c>
      <c r="E130" s="433">
        <v>538560060.9</v>
      </c>
      <c r="F130" s="426">
        <f>D130*365/E130</f>
        <v>0.022865</v>
      </c>
    </row>
    <row r="131" spans="1:6">
      <c r="A131" s="427">
        <v>45995</v>
      </c>
      <c r="B131" s="86">
        <v>0</v>
      </c>
      <c r="C131" s="431">
        <v>34020.7195034918</v>
      </c>
      <c r="D131" s="423">
        <f>B131+C131</f>
        <v>34020.7195034918</v>
      </c>
      <c r="E131" s="433">
        <v>538606055.9</v>
      </c>
      <c r="F131" s="426">
        <f>D131*365/E131</f>
        <v>0.023055</v>
      </c>
    </row>
    <row r="132" spans="1:6">
      <c r="A132" s="427">
        <v>45996</v>
      </c>
      <c r="B132" s="86">
        <v>0</v>
      </c>
      <c r="C132" s="431">
        <v>33874.5731488016</v>
      </c>
      <c r="D132" s="423">
        <f>B132+C132</f>
        <v>33874.5731488016</v>
      </c>
      <c r="E132" s="433">
        <v>538652051.9</v>
      </c>
      <c r="F132" s="426">
        <f>D132*365/E132</f>
        <v>0.022954</v>
      </c>
    </row>
    <row r="133" spans="1:6">
      <c r="A133" s="427">
        <v>45997</v>
      </c>
      <c r="B133" s="86">
        <v>0</v>
      </c>
      <c r="C133" s="431">
        <v>33877.4657930154</v>
      </c>
      <c r="D133" s="423">
        <f>B133+C133</f>
        <v>33877.4657930154</v>
      </c>
      <c r="E133" s="433">
        <v>538698048.9</v>
      </c>
      <c r="F133" s="426">
        <f>D133*365/E133</f>
        <v>0.022954</v>
      </c>
    </row>
    <row r="134" spans="1:6">
      <c r="A134" s="427">
        <v>45998</v>
      </c>
      <c r="B134" s="86">
        <v>0</v>
      </c>
      <c r="C134" s="431">
        <v>33880.3585001167</v>
      </c>
      <c r="D134" s="423">
        <f>B134+C134</f>
        <v>33880.3585001167</v>
      </c>
      <c r="E134" s="433">
        <v>538744046.9</v>
      </c>
      <c r="F134" s="426">
        <f>D134*365/E134</f>
        <v>0.022954</v>
      </c>
    </row>
    <row r="135" spans="1:6">
      <c r="A135" s="427">
        <v>45999</v>
      </c>
      <c r="B135" s="86">
        <v>0</v>
      </c>
      <c r="C135" s="431">
        <v>33883.2512701058</v>
      </c>
      <c r="D135" s="423">
        <f>B135+C135</f>
        <v>33883.2512701058</v>
      </c>
      <c r="E135" s="433">
        <v>538790045.9</v>
      </c>
      <c r="F135" s="426">
        <f>D135*365/E135</f>
        <v>0.022954</v>
      </c>
    </row>
    <row r="136" spans="1:6">
      <c r="A136" s="427">
        <v>46000</v>
      </c>
      <c r="B136" s="86">
        <v>0</v>
      </c>
      <c r="C136" s="431">
        <v>33859.5713664723</v>
      </c>
      <c r="D136" s="423">
        <f>B136+C136</f>
        <v>33859.5713664723</v>
      </c>
      <c r="E136" s="433">
        <v>538836045.9</v>
      </c>
      <c r="F136" s="426">
        <f>D136*365/E136</f>
        <v>0.022936</v>
      </c>
    </row>
    <row r="137" spans="1:6">
      <c r="A137" s="427">
        <v>46001</v>
      </c>
      <c r="B137" s="86">
        <v>0</v>
      </c>
      <c r="C137" s="431">
        <v>33862.4619936943</v>
      </c>
      <c r="D137" s="423">
        <f>B137+C137</f>
        <v>33862.4619936943</v>
      </c>
      <c r="E137" s="433">
        <v>538882046.9</v>
      </c>
      <c r="F137" s="426">
        <f>D137*365/E137</f>
        <v>0.022936</v>
      </c>
    </row>
    <row r="138" spans="1:6">
      <c r="A138" s="427">
        <v>46002</v>
      </c>
      <c r="B138" s="86">
        <v>0</v>
      </c>
      <c r="C138" s="431">
        <v>33865.3526837545</v>
      </c>
      <c r="D138" s="423">
        <f>B138+C138</f>
        <v>33865.3526837545</v>
      </c>
      <c r="E138" s="433">
        <v>538928048.9</v>
      </c>
      <c r="F138" s="426">
        <f>D138*365/E138</f>
        <v>0.022936</v>
      </c>
    </row>
    <row r="139" spans="1:6">
      <c r="A139" s="427">
        <v>46003</v>
      </c>
      <c r="B139" s="86">
        <v>0</v>
      </c>
      <c r="C139" s="431">
        <v>33868.2434366532</v>
      </c>
      <c r="D139" s="423">
        <f>B139+C139</f>
        <v>33868.2434366532</v>
      </c>
      <c r="E139" s="433">
        <v>538974051.9</v>
      </c>
      <c r="F139" s="426">
        <f>D139*365/E139</f>
        <v>0.022936</v>
      </c>
    </row>
    <row r="140" spans="1:6">
      <c r="A140" s="427">
        <v>46004</v>
      </c>
      <c r="B140" s="86">
        <v>0</v>
      </c>
      <c r="C140" s="431">
        <v>33871.1342523902</v>
      </c>
      <c r="D140" s="423">
        <f>B140+C140</f>
        <v>33871.1342523902</v>
      </c>
      <c r="E140" s="433">
        <v>539020055.9</v>
      </c>
      <c r="F140" s="426">
        <f>D140*365/E140</f>
        <v>0.022936</v>
      </c>
    </row>
    <row r="141" spans="1:6">
      <c r="A141" s="427">
        <v>46005</v>
      </c>
      <c r="B141" s="86">
        <v>0</v>
      </c>
      <c r="C141" s="431">
        <v>33874.0251309655</v>
      </c>
      <c r="D141" s="423">
        <f>B141+C141</f>
        <v>33874.0251309655</v>
      </c>
      <c r="E141" s="433">
        <v>539066060.9</v>
      </c>
      <c r="F141" s="426">
        <f>D141*365/E141</f>
        <v>0.022936</v>
      </c>
    </row>
    <row r="142" spans="1:6">
      <c r="A142" s="427">
        <v>46006</v>
      </c>
      <c r="B142" s="86">
        <v>0</v>
      </c>
      <c r="C142" s="431">
        <v>33876.9160723792</v>
      </c>
      <c r="D142" s="423">
        <f>B142+C142</f>
        <v>33876.9160723792</v>
      </c>
      <c r="E142" s="433">
        <v>539112066.9</v>
      </c>
      <c r="F142" s="426">
        <f>D142*365/E142</f>
        <v>0.022936</v>
      </c>
    </row>
    <row r="143" spans="1:6">
      <c r="A143" s="427">
        <v>46007</v>
      </c>
      <c r="B143" s="86">
        <v>0</v>
      </c>
      <c r="C143" s="431">
        <v>33996.5015638589</v>
      </c>
      <c r="D143" s="423">
        <f>B143+C143</f>
        <v>33996.5015638589</v>
      </c>
      <c r="E143" s="433">
        <v>539158073.9</v>
      </c>
      <c r="F143" s="426">
        <f>D143*365/E143</f>
        <v>0.023015</v>
      </c>
    </row>
    <row r="144" spans="1:6">
      <c r="A144" s="427">
        <v>46008</v>
      </c>
      <c r="B144" s="86">
        <v>0</v>
      </c>
      <c r="C144" s="431">
        <v>33972.8117026145</v>
      </c>
      <c r="D144" s="423">
        <f>B144+C144</f>
        <v>33972.8117026145</v>
      </c>
      <c r="E144" s="433">
        <v>539204081.9</v>
      </c>
      <c r="F144" s="426">
        <f>D144*365/E144</f>
        <v>0.022997</v>
      </c>
    </row>
    <row r="145" spans="1:6">
      <c r="A145" s="427">
        <v>46009</v>
      </c>
      <c r="B145" s="86">
        <v>0</v>
      </c>
      <c r="C145" s="431">
        <v>34022.9872420167</v>
      </c>
      <c r="D145" s="423">
        <f>B145+C145</f>
        <v>34022.9872420167</v>
      </c>
      <c r="E145" s="433">
        <v>539250090.9</v>
      </c>
      <c r="F145" s="426">
        <f>D145*365/E145</f>
        <v>0.023029</v>
      </c>
    </row>
    <row r="146" spans="1:6">
      <c r="A146" s="427">
        <v>46010</v>
      </c>
      <c r="B146" s="86">
        <v>0</v>
      </c>
      <c r="C146" s="431">
        <v>33845.6322830584</v>
      </c>
      <c r="D146" s="423">
        <f>B146+C146</f>
        <v>33845.6322830584</v>
      </c>
      <c r="E146" s="433">
        <v>539296100.9</v>
      </c>
      <c r="F146" s="426">
        <f>D146*365/E146</f>
        <v>0.022907</v>
      </c>
    </row>
    <row r="147" spans="1:6">
      <c r="A147" s="427">
        <v>46011</v>
      </c>
      <c r="B147" s="86">
        <v>0</v>
      </c>
      <c r="C147" s="431">
        <v>33848.5198829953</v>
      </c>
      <c r="D147" s="423">
        <f>B147+C147</f>
        <v>33848.5198829953</v>
      </c>
      <c r="E147" s="433">
        <v>539342111.9</v>
      </c>
      <c r="F147" s="426">
        <f>D147*365/E147</f>
        <v>0.022907</v>
      </c>
    </row>
    <row r="148" spans="1:6">
      <c r="A148" s="427">
        <v>46012</v>
      </c>
      <c r="B148" s="86">
        <v>0</v>
      </c>
      <c r="C148" s="431">
        <v>33851.4075456912</v>
      </c>
      <c r="D148" s="423">
        <f>B148+C148</f>
        <v>33851.4075456912</v>
      </c>
      <c r="E148" s="433">
        <v>539388123.9</v>
      </c>
      <c r="F148" s="426">
        <f>D148*365/E148</f>
        <v>0.022907</v>
      </c>
    </row>
    <row r="149" spans="1:6">
      <c r="A149" s="427">
        <v>46013</v>
      </c>
      <c r="B149" s="86">
        <v>0</v>
      </c>
      <c r="C149" s="431">
        <v>33854.295271146</v>
      </c>
      <c r="D149" s="423">
        <f>B149+C149</f>
        <v>33854.295271146</v>
      </c>
      <c r="E149" s="433">
        <v>539434136.9</v>
      </c>
      <c r="F149" s="426">
        <f>D149*365/E149</f>
        <v>0.022907</v>
      </c>
    </row>
    <row r="150" spans="1:5">
      <c r="A150" s="427">
        <v>46014</v>
      </c>
      <c r="D150" s="423">
        <f>B150+C150</f>
        <v>0</v>
      </c>
      <c r="E150" s="433" t="s"/>
    </row>
    <row r="151" spans="1:5">
      <c r="A151" s="427">
        <v>46015</v>
      </c>
      <c r="D151" s="423">
        <f>B151+C151</f>
        <v>0</v>
      </c>
      <c r="E151" s="429" t="s"/>
    </row>
    <row r="152" spans="1:5">
      <c r="A152" s="427">
        <v>46016</v>
      </c>
      <c r="D152" s="423">
        <f>B152+C152</f>
        <v>0</v>
      </c>
      <c r="E152" s="429" t="s"/>
    </row>
    <row r="153" spans="1:5">
      <c r="A153" s="427">
        <v>46017</v>
      </c>
      <c r="D153" s="423">
        <f>B153+C153</f>
        <v>0</v>
      </c>
      <c r="E153" s="429" t="s"/>
    </row>
    <row r="154" spans="1:5">
      <c r="A154" s="427">
        <v>46018</v>
      </c>
      <c r="D154" s="423">
        <f>B154+C154</f>
        <v>0</v>
      </c>
      <c r="E154" s="429" t="s"/>
    </row>
    <row r="155" spans="1:5">
      <c r="A155" s="427">
        <v>46019</v>
      </c>
      <c r="D155" s="423">
        <f>B155+C155</f>
        <v>0</v>
      </c>
      <c r="E155" s="429" t="s"/>
    </row>
    <row r="156" spans="1:5">
      <c r="A156" s="427">
        <v>46020</v>
      </c>
      <c r="D156" s="423">
        <f>B156+C156</f>
        <v>0</v>
      </c>
      <c r="E156" s="429" t="s"/>
    </row>
    <row r="157" spans="1:5">
      <c r="A157" s="427">
        <v>46021</v>
      </c>
      <c r="D157" s="423">
        <f>B157+C157</f>
        <v>0</v>
      </c>
      <c r="E157" s="429" t="s"/>
    </row>
    <row r="158" spans="1:5">
      <c r="A158" s="427">
        <v>46022</v>
      </c>
      <c r="D158" s="423">
        <f>B158+C158</f>
        <v>0</v>
      </c>
      <c r="E158" s="429" t="s"/>
    </row>
    <row r="159" spans="1:5">
      <c r="A159" s="427">
        <v>46023</v>
      </c>
      <c r="D159" s="423">
        <f>B159+C159</f>
        <v>0</v>
      </c>
      <c r="E159" s="429" t="s"/>
    </row>
    <row r="160" spans="1:5">
      <c r="A160" s="427">
        <v>46024</v>
      </c>
      <c r="D160" s="423">
        <f>B160+C160</f>
        <v>0</v>
      </c>
      <c r="E160" s="429" t="s"/>
    </row>
    <row r="161" spans="1:5">
      <c r="A161" s="427">
        <v>46025</v>
      </c>
      <c r="D161" s="423">
        <f>B161+C161</f>
        <v>0</v>
      </c>
      <c r="E161" s="429" t="s"/>
    </row>
    <row r="162" spans="1:5">
      <c r="A162" s="427">
        <v>46026</v>
      </c>
      <c r="D162" s="423">
        <f>B162+C162</f>
        <v>0</v>
      </c>
      <c r="E162" s="429" t="s"/>
    </row>
    <row r="163" spans="1:5">
      <c r="A163" s="427">
        <v>46027</v>
      </c>
      <c r="D163" s="423">
        <f>B163+C163</f>
        <v>0</v>
      </c>
      <c r="E163" s="429" t="s"/>
    </row>
    <row r="164" spans="1:5">
      <c r="A164" s="427">
        <v>46028</v>
      </c>
      <c r="D164" s="423">
        <f>B164+C164</f>
        <v>0</v>
      </c>
      <c r="E164" s="429" t="s"/>
    </row>
    <row r="165" spans="1:5">
      <c r="A165" s="427">
        <v>46029</v>
      </c>
      <c r="D165" s="423">
        <f>B165+C165</f>
        <v>0</v>
      </c>
      <c r="E165" s="429" t="s"/>
    </row>
    <row r="166" spans="1:5">
      <c r="A166" s="427">
        <v>46030</v>
      </c>
      <c r="D166" s="423">
        <f>B166+C166</f>
        <v>0</v>
      </c>
      <c r="E166" s="429" t="s"/>
    </row>
    <row r="167" spans="1:5">
      <c r="A167" s="427">
        <v>46031</v>
      </c>
      <c r="D167" s="423">
        <f>B167+C167</f>
        <v>0</v>
      </c>
      <c r="E167" s="429" t="s"/>
    </row>
    <row r="168" spans="1:5">
      <c r="A168" s="427">
        <v>46032</v>
      </c>
      <c r="D168" s="423">
        <f>B168+C168</f>
        <v>0</v>
      </c>
      <c r="E168" s="429" t="s"/>
    </row>
    <row r="169" spans="1:5">
      <c r="A169" s="427">
        <v>46033</v>
      </c>
      <c r="D169" s="423">
        <f>B169+C169</f>
        <v>0</v>
      </c>
      <c r="E169" s="429" t="s"/>
    </row>
    <row r="170" spans="1:5">
      <c r="A170" s="427">
        <v>46034</v>
      </c>
      <c r="D170" s="423">
        <f>B170+C170</f>
        <v>0</v>
      </c>
      <c r="E170" s="429" t="s"/>
    </row>
    <row r="171" spans="1:5">
      <c r="A171" s="427">
        <v>46035</v>
      </c>
      <c r="D171" s="423">
        <f>B171+C171</f>
        <v>0</v>
      </c>
      <c r="E171" s="429" t="s"/>
    </row>
    <row r="172" spans="1:5">
      <c r="A172" s="427">
        <v>46036</v>
      </c>
      <c r="D172" s="423">
        <f>B172+C172</f>
        <v>0</v>
      </c>
      <c r="E172" s="429" t="s"/>
    </row>
    <row r="173" spans="1:5">
      <c r="A173" s="427">
        <v>46037</v>
      </c>
      <c r="D173" s="423">
        <f>B173+C173</f>
        <v>0</v>
      </c>
      <c r="E173" s="429" t="s"/>
    </row>
    <row r="174" spans="1:5">
      <c r="A174" s="427">
        <v>46038</v>
      </c>
      <c r="D174" s="423">
        <f>B174+C174</f>
        <v>0</v>
      </c>
      <c r="E174" s="429" t="s"/>
    </row>
    <row r="175" spans="1:5">
      <c r="A175" s="427">
        <v>46039</v>
      </c>
      <c r="D175" s="423">
        <f>B175+C175</f>
        <v>0</v>
      </c>
      <c r="E175" s="429" t="s"/>
    </row>
    <row r="176" spans="1:5">
      <c r="A176" s="427">
        <v>46040</v>
      </c>
      <c r="D176" s="423">
        <f>B176+C176</f>
        <v>0</v>
      </c>
      <c r="E176" s="429" t="s"/>
    </row>
    <row r="177" spans="1:5">
      <c r="A177" s="427">
        <v>46041</v>
      </c>
      <c r="D177" s="423">
        <f>B177+C177</f>
        <v>0</v>
      </c>
      <c r="E177" s="429" t="s"/>
    </row>
    <row r="178" spans="1:5">
      <c r="A178" s="427">
        <v>46042</v>
      </c>
      <c r="D178" s="423">
        <f>B178+C178</f>
        <v>0</v>
      </c>
      <c r="E178" s="429" t="s"/>
    </row>
    <row r="179" spans="1:5">
      <c r="A179" s="427">
        <v>46043</v>
      </c>
      <c r="D179" s="423">
        <f>B179+C179</f>
        <v>0</v>
      </c>
      <c r="E179" s="429" t="s"/>
    </row>
  </sheetData>
  <dataValidations>
    <dataValidation type="date" errorStyle="stop" allowBlank="1" showDropDown="0" showInputMessage="1" showErrorMessage="1" prompt="" sqref="A2:A179"/>
  </dataValidations>
</worksheet>
</file>

<file path=xl/worksheets/sheet5.xml><?xml version="1.0" encoding="utf-8"?>
<worksheet xmlns="http://schemas.openxmlformats.org/spreadsheetml/2006/main" xmlns:r="http://schemas.openxmlformats.org/officeDocument/2006/relationships">
  <sheetPr codeName="【餐补】">
    <tabColor/>
  </sheetPr>
  <dimension ref="L23"/>
  <sheetViews>
    <sheetView showGridLines="1" workbookViewId="0"/>
  </sheetViews>
  <sheetFormatPr baseColWidth="13" defaultRowHeight="18" customHeight="1"/>
  <cols>
    <col min="1" max="1" width="20.0938" customWidth="1"/>
    <col min="2" max="12" width="13.6719"/>
    <col min="13" max="13" width="13.6719" style="773"/>
    <col min="26" max="26" width="26.7031" customWidth="1"/>
  </cols>
  <sheetData>
    <row r="1" spans="1:26" ht="32.25" customHeight="1">
      <c r="A1" s="434" t="s"/>
      <c r="B1" s="435" t="s">
        <v>361</v>
      </c>
      <c r="C1" s="434" t="s"/>
      <c r="D1" s="434" t="s"/>
      <c r="E1" s="434" t="s"/>
      <c r="F1" s="434" t="s"/>
      <c r="G1" s="434" t="s"/>
      <c r="H1" s="436" t="s">
        <v>362</v>
      </c>
      <c r="I1" s="437" t="s"/>
      <c r="J1" s="437" t="s"/>
      <c r="K1" s="437" t="s"/>
      <c r="L1" s="437" t="s"/>
      <c r="M1" s="438" t="s"/>
      <c r="Y1" t="s">
        <v>363</v>
      </c>
      <c r="Z1" t="s">
        <v>364</v>
      </c>
    </row>
    <row r="2" spans="1:28">
      <c r="A2" s="434" t="s"/>
      <c r="B2" s="439" t="s">
        <v>365</v>
      </c>
      <c r="C2" s="439" t="s">
        <v>366</v>
      </c>
      <c r="D2" s="439" t="s">
        <v>367</v>
      </c>
      <c r="E2" s="439" t="s">
        <v>368</v>
      </c>
      <c r="F2" s="439" t="s">
        <v>369</v>
      </c>
      <c r="G2" s="439" t="s">
        <v>370</v>
      </c>
      <c r="H2" s="439" t="s">
        <v>371</v>
      </c>
      <c r="I2" s="439" t="s">
        <v>372</v>
      </c>
      <c r="J2" s="439" t="s">
        <v>373</v>
      </c>
      <c r="K2" s="439" t="s">
        <v>374</v>
      </c>
      <c r="L2" s="439" t="s">
        <v>375</v>
      </c>
      <c r="M2" s="440" t="s">
        <v>376</v>
      </c>
      <c r="N2" s="441" t="s">
        <v>365</v>
      </c>
      <c r="O2" s="442" t="s">
        <v>366</v>
      </c>
      <c r="P2" s="441" t="s">
        <v>367</v>
      </c>
      <c r="Q2" s="441" t="s">
        <v>368</v>
      </c>
      <c r="R2" s="441" t="s">
        <v>369</v>
      </c>
      <c r="S2" s="441" t="s">
        <v>370</v>
      </c>
      <c r="T2" s="443" t="s">
        <v>377</v>
      </c>
      <c r="U2" s="441" t="s"/>
      <c r="V2" s="442" t="s"/>
      <c r="AB2" t="s">
        <v>378</v>
      </c>
    </row>
    <row r="3" spans="1:28">
      <c r="A3" s="439" t="s">
        <v>379</v>
      </c>
      <c r="B3" s="444">
        <v>18</v>
      </c>
      <c r="C3" s="444">
        <v>13</v>
      </c>
      <c r="D3" s="444">
        <v>18</v>
      </c>
      <c r="E3" s="444">
        <v>13</v>
      </c>
      <c r="F3" s="444">
        <v>20</v>
      </c>
      <c r="G3" s="445">
        <v>15</v>
      </c>
      <c r="H3" s="446">
        <v>16</v>
      </c>
      <c r="I3" s="446">
        <v>9</v>
      </c>
      <c r="J3" s="446">
        <v>17</v>
      </c>
      <c r="K3" s="445">
        <v>18</v>
      </c>
      <c r="L3" s="446">
        <v>18</v>
      </c>
      <c r="M3" s="447" t="s"/>
      <c r="N3" s="448" t="s"/>
      <c r="O3" s="448" t="s"/>
      <c r="P3" s="448" t="s"/>
      <c r="Q3" s="448" t="s"/>
      <c r="R3" s="448" t="s"/>
      <c r="S3" s="448" t="s"/>
      <c r="T3" s="449">
        <f>SUM(M3:P3)*45</f>
        <v>0</v>
      </c>
      <c r="U3" s="449" t="s"/>
      <c r="V3" s="449" t="s"/>
      <c r="Y3">
        <v>18566728982</v>
      </c>
      <c r="Z3" t="s">
        <v>2413</v>
      </c>
      <c r="AA3">
        <f>1400-F3</f>
        <v>1380</v>
      </c>
      <c r="AB3">
        <f>SUM(B3:F3)*45</f>
        <v>3690</v>
      </c>
    </row>
    <row r="4" spans="1:28">
      <c r="A4" s="439" t="s">
        <v>48</v>
      </c>
      <c r="B4" s="444">
        <v>23</v>
      </c>
      <c r="C4" s="444">
        <v>16</v>
      </c>
      <c r="D4" s="444">
        <v>19</v>
      </c>
      <c r="E4" s="444">
        <v>17</v>
      </c>
      <c r="F4" s="444">
        <v>15</v>
      </c>
      <c r="G4" s="450">
        <v>17</v>
      </c>
      <c r="H4" s="446">
        <v>17</v>
      </c>
      <c r="I4" s="446">
        <v>8</v>
      </c>
      <c r="J4" s="446">
        <v>19</v>
      </c>
      <c r="K4" s="445">
        <v>18</v>
      </c>
      <c r="L4" s="446">
        <v>15</v>
      </c>
      <c r="M4" s="447">
        <v>19</v>
      </c>
      <c r="N4" s="448">
        <v>13</v>
      </c>
      <c r="O4" s="448">
        <v>20</v>
      </c>
      <c r="P4" s="448" t="s"/>
      <c r="Q4" s="448" t="s"/>
      <c r="R4" s="448" t="s"/>
      <c r="S4" s="448" t="s"/>
      <c r="T4" s="449">
        <f>SUM(M4:P4)*45</f>
        <v>2340</v>
      </c>
      <c r="U4" s="449" t="s"/>
      <c r="V4" s="449" t="s"/>
      <c r="Y4">
        <v>13925236708</v>
      </c>
      <c r="Z4" t="s">
        <v>2414</v>
      </c>
      <c r="AB4">
        <f>SUM(B4:F4)*45</f>
        <v>4050</v>
      </c>
    </row>
    <row r="5" spans="1:28">
      <c r="A5" s="439" t="s">
        <v>54</v>
      </c>
      <c r="B5" s="444">
        <v>23</v>
      </c>
      <c r="C5" s="444">
        <v>21</v>
      </c>
      <c r="D5" s="444">
        <v>17</v>
      </c>
      <c r="E5" s="444">
        <v>17</v>
      </c>
      <c r="F5" s="444">
        <v>19</v>
      </c>
      <c r="G5" s="450">
        <v>23</v>
      </c>
      <c r="H5" s="446">
        <v>20</v>
      </c>
      <c r="I5" s="446">
        <v>14</v>
      </c>
      <c r="J5" s="446">
        <v>22</v>
      </c>
      <c r="K5" s="445">
        <v>20</v>
      </c>
      <c r="L5" s="446">
        <v>18</v>
      </c>
      <c r="M5" s="447">
        <v>20</v>
      </c>
      <c r="N5" s="448">
        <v>23</v>
      </c>
      <c r="O5" s="447">
        <v>21</v>
      </c>
      <c r="P5" s="448" t="s"/>
      <c r="Q5" s="448" t="s"/>
      <c r="R5" s="448" t="s"/>
      <c r="S5" s="448" t="s"/>
      <c r="T5" s="449">
        <f>SUM(M5:P5)*45</f>
        <v>2880</v>
      </c>
      <c r="U5" s="449" t="s"/>
      <c r="V5" s="449" t="s"/>
      <c r="Y5">
        <v>16602000495</v>
      </c>
      <c r="Z5" t="s">
        <v>2415</v>
      </c>
      <c r="AB5">
        <f>SUM(B5:F5)*45</f>
        <v>4365</v>
      </c>
    </row>
    <row r="6" spans="1:28">
      <c r="A6" s="439" t="s">
        <v>277</v>
      </c>
      <c r="B6" s="444">
        <v>23</v>
      </c>
      <c r="C6" s="444">
        <v>17</v>
      </c>
      <c r="D6" s="444">
        <v>22</v>
      </c>
      <c r="E6" s="444">
        <v>15</v>
      </c>
      <c r="F6" s="444">
        <v>20</v>
      </c>
      <c r="G6" s="450">
        <v>20</v>
      </c>
      <c r="H6" s="446">
        <v>20</v>
      </c>
      <c r="I6" s="446">
        <v>14</v>
      </c>
      <c r="J6" s="446">
        <v>22</v>
      </c>
      <c r="K6" s="445">
        <v>21</v>
      </c>
      <c r="L6" s="446">
        <v>18</v>
      </c>
      <c r="M6" s="447" t="s"/>
      <c r="N6" s="448" t="s"/>
      <c r="O6" s="448" t="s"/>
      <c r="P6" s="448" t="s"/>
      <c r="Q6" s="448" t="s"/>
      <c r="R6" s="448" t="s"/>
      <c r="S6" s="448" t="s"/>
      <c r="T6" s="449">
        <f>SUM(M6:P6)*45</f>
        <v>0</v>
      </c>
      <c r="U6" s="449" t="s"/>
      <c r="V6" s="449" t="s"/>
      <c r="Y6">
        <v>13726203161</v>
      </c>
      <c r="Z6" t="s">
        <v>2416</v>
      </c>
      <c r="AB6">
        <f>SUM(B6:F6)*45</f>
        <v>4365</v>
      </c>
    </row>
    <row r="7" spans="1:28">
      <c r="A7" s="439" t="s">
        <v>201</v>
      </c>
      <c r="B7" s="444">
        <v>22</v>
      </c>
      <c r="C7" s="444">
        <v>21</v>
      </c>
      <c r="D7" s="444">
        <v>15</v>
      </c>
      <c r="E7" s="444">
        <v>15</v>
      </c>
      <c r="F7" s="444">
        <v>20</v>
      </c>
      <c r="G7" s="450">
        <v>20</v>
      </c>
      <c r="H7" s="446">
        <v>20</v>
      </c>
      <c r="I7" s="446">
        <v>11</v>
      </c>
      <c r="J7" s="446">
        <v>22</v>
      </c>
      <c r="K7" s="445">
        <v>21</v>
      </c>
      <c r="L7" s="446">
        <v>18</v>
      </c>
      <c r="M7" s="447" t="s"/>
      <c r="N7" s="448" t="s"/>
      <c r="O7" s="448" t="s"/>
      <c r="P7" s="448" t="s"/>
      <c r="Q7" s="448" t="s"/>
      <c r="R7" s="448" t="s"/>
      <c r="S7" s="448" t="s"/>
      <c r="T7" s="449">
        <f>SUM(M7:P7)*45</f>
        <v>0</v>
      </c>
      <c r="U7" s="449" t="s"/>
      <c r="V7" s="449" t="s"/>
      <c r="Y7">
        <v>18150595315</v>
      </c>
      <c r="Z7" t="s">
        <v>2417</v>
      </c>
      <c r="AB7">
        <f>SUM(B7:F7)*45</f>
        <v>4185</v>
      </c>
    </row>
    <row r="8" spans="1:28">
      <c r="A8" s="439" t="s">
        <v>134</v>
      </c>
      <c r="B8" s="444">
        <v>23</v>
      </c>
      <c r="C8" s="444">
        <v>21</v>
      </c>
      <c r="D8" s="444">
        <v>22</v>
      </c>
      <c r="E8" s="444">
        <v>14</v>
      </c>
      <c r="F8" s="444">
        <v>18</v>
      </c>
      <c r="G8" s="450">
        <v>23</v>
      </c>
      <c r="H8" s="446">
        <v>20</v>
      </c>
      <c r="I8" s="446">
        <v>14</v>
      </c>
      <c r="J8" s="446">
        <v>22</v>
      </c>
      <c r="K8" s="445">
        <v>21</v>
      </c>
      <c r="L8" s="446">
        <v>18</v>
      </c>
      <c r="M8" s="447" t="s"/>
      <c r="N8" s="448" t="s"/>
      <c r="O8" s="448" t="s"/>
      <c r="P8" s="448" t="s"/>
      <c r="Q8" s="448" t="s"/>
      <c r="R8" s="448" t="s"/>
      <c r="S8" s="448" t="s"/>
      <c r="T8" s="449">
        <f>SUM(M8:P8)*45</f>
        <v>0</v>
      </c>
      <c r="U8" s="449" t="s"/>
      <c r="V8" s="449" t="s"/>
      <c r="Y8">
        <v>15573770703</v>
      </c>
      <c r="Z8" t="s">
        <v>2418</v>
      </c>
      <c r="AB8">
        <f>SUM(B8:F8)*45</f>
        <v>4410</v>
      </c>
    </row>
    <row r="9" spans="1:28">
      <c r="A9" s="439" t="s">
        <v>279</v>
      </c>
      <c r="B9" s="444">
        <v>23</v>
      </c>
      <c r="C9" s="444">
        <v>21</v>
      </c>
      <c r="D9" s="444">
        <v>20</v>
      </c>
      <c r="E9" s="444">
        <v>17</v>
      </c>
      <c r="F9" s="444">
        <v>16</v>
      </c>
      <c r="G9" s="450">
        <v>23</v>
      </c>
      <c r="H9" s="446">
        <v>20</v>
      </c>
      <c r="I9" s="446">
        <v>13</v>
      </c>
      <c r="J9" s="446">
        <v>22</v>
      </c>
      <c r="K9" s="445">
        <v>21</v>
      </c>
      <c r="L9" s="446">
        <v>18</v>
      </c>
      <c r="M9" s="447">
        <v>21</v>
      </c>
      <c r="N9" s="448">
        <v>22</v>
      </c>
      <c r="O9" s="448">
        <v>21</v>
      </c>
      <c r="P9" s="448" t="s"/>
      <c r="Q9" s="448" t="s"/>
      <c r="R9" s="448" t="s"/>
      <c r="S9" s="448" t="s"/>
      <c r="T9" s="449">
        <f>SUM(M9:P9)*45</f>
        <v>2880</v>
      </c>
      <c r="U9" s="449" t="s"/>
      <c r="V9" s="449" t="s"/>
      <c r="Y9">
        <v>18180022055</v>
      </c>
      <c r="Z9" t="s">
        <v>2419</v>
      </c>
      <c r="AB9">
        <f>SUM(B9:F9)*45</f>
        <v>4365</v>
      </c>
    </row>
    <row r="10" spans="1:28">
      <c r="A10" s="439" t="s">
        <v>112</v>
      </c>
      <c r="B10" s="444">
        <v>22</v>
      </c>
      <c r="C10" s="444">
        <v>15</v>
      </c>
      <c r="D10" s="444">
        <v>18</v>
      </c>
      <c r="E10" s="444">
        <v>13</v>
      </c>
      <c r="F10" s="444">
        <v>16</v>
      </c>
      <c r="G10" s="450">
        <v>22</v>
      </c>
      <c r="H10" s="446">
        <v>19</v>
      </c>
      <c r="I10" s="446">
        <v>14</v>
      </c>
      <c r="J10" s="446">
        <v>21</v>
      </c>
      <c r="K10" s="445">
        <v>21</v>
      </c>
      <c r="L10" s="446">
        <v>18</v>
      </c>
      <c r="M10" s="447" t="s"/>
      <c r="N10" s="448" t="s"/>
      <c r="O10" s="448" t="s"/>
      <c r="P10" s="448" t="s"/>
      <c r="Q10" s="448" t="s"/>
      <c r="R10" s="448" t="s"/>
      <c r="S10" s="448" t="s"/>
      <c r="T10" s="449">
        <f>SUM(M10:P10)*45</f>
        <v>0</v>
      </c>
      <c r="U10" s="449" t="s"/>
      <c r="V10" s="449" t="s"/>
      <c r="Y10">
        <v>15852931739</v>
      </c>
      <c r="Z10" s="451" t="s">
        <v>2420</v>
      </c>
      <c r="AB10">
        <f>SUM(B10:F10)*45</f>
        <v>3780</v>
      </c>
    </row>
    <row r="11" spans="1:20">
      <c r="A11" s="86" t="s">
        <v>380</v>
      </c>
      <c r="B11" s="452">
        <v>10</v>
      </c>
      <c r="C11" s="452">
        <v>10</v>
      </c>
      <c r="D11" s="452">
        <v>12</v>
      </c>
      <c r="E11" s="452">
        <v>10</v>
      </c>
      <c r="F11" s="452">
        <v>10</v>
      </c>
      <c r="G11" s="453">
        <v>10</v>
      </c>
      <c r="H11" s="453">
        <v>11</v>
      </c>
      <c r="I11" s="453">
        <v>5</v>
      </c>
      <c r="J11" s="453">
        <v>16</v>
      </c>
      <c r="K11" s="453">
        <v>9</v>
      </c>
      <c r="L11" s="453">
        <v>13</v>
      </c>
      <c r="M11" s="447" t="s"/>
      <c r="N11" s="447" t="s"/>
      <c r="O11" s="447" t="s"/>
      <c r="P11" s="447" t="s"/>
      <c r="Q11" s="448" t="s"/>
      <c r="R11" s="448" t="s"/>
      <c r="S11" s="448" t="s"/>
      <c r="T11" s="454">
        <f>SUM(M11:P11)*45</f>
        <v>0</v>
      </c>
    </row>
    <row r="12" spans="1:25">
      <c r="A12" s="441" t="s">
        <v>44</v>
      </c>
      <c r="B12" s="452" t="s"/>
      <c r="C12" s="452" t="s"/>
      <c r="D12" s="452" t="s"/>
      <c r="E12" s="452" t="s"/>
      <c r="F12" s="452" t="s"/>
      <c r="G12" s="455" t="s"/>
      <c r="H12" s="455" t="s"/>
      <c r="I12" s="455" t="s"/>
      <c r="J12" s="455" t="s"/>
      <c r="K12" s="455" t="s"/>
      <c r="L12" s="447">
        <v>15</v>
      </c>
      <c r="M12" s="447">
        <v>21</v>
      </c>
      <c r="N12" s="447">
        <v>23</v>
      </c>
      <c r="O12" s="447">
        <v>18</v>
      </c>
      <c r="P12" s="447" t="s"/>
      <c r="Q12" s="448" t="s"/>
      <c r="R12" s="448" t="s"/>
      <c r="S12" s="448" t="s"/>
      <c r="T12" s="454">
        <f>SUM(L12:P12)*45</f>
        <v>3465</v>
      </c>
      <c r="Y12">
        <f>SUM(M3:M11)</f>
        <v>60</v>
      </c>
    </row>
    <row r="13" spans="1:20">
      <c r="A13" s="441" t="s">
        <v>381</v>
      </c>
      <c r="M13" s="447" t="s"/>
      <c r="N13" s="447">
        <v>7</v>
      </c>
      <c r="O13" s="447">
        <v>21</v>
      </c>
      <c r="P13" s="447">
        <v>21</v>
      </c>
      <c r="Q13" s="448" t="s"/>
      <c r="R13" s="448" t="s"/>
      <c r="S13" s="448" t="s"/>
      <c r="T13" s="454">
        <f>SUM(M13:P13)*45</f>
        <v>2205</v>
      </c>
    </row>
    <row r="14" spans="1:20">
      <c r="A14" s="441" t="s">
        <v>382</v>
      </c>
      <c r="M14" s="447" t="s"/>
      <c r="N14" s="447">
        <v>7</v>
      </c>
      <c r="O14" s="447">
        <v>21</v>
      </c>
      <c r="P14" s="447">
        <v>21</v>
      </c>
      <c r="Q14" s="448" t="s"/>
      <c r="R14" s="448" t="s"/>
      <c r="S14" s="448" t="s"/>
      <c r="T14" s="454">
        <f>SUM(M14:P14)*45</f>
        <v>2205</v>
      </c>
    </row>
    <row r="15" spans="1:20">
      <c r="A15" s="441" t="s">
        <v>383</v>
      </c>
      <c r="M15" s="447" t="s"/>
      <c r="N15" s="447">
        <v>7</v>
      </c>
      <c r="O15" s="447">
        <v>21</v>
      </c>
      <c r="P15" s="447">
        <v>21</v>
      </c>
      <c r="Q15" s="448" t="s"/>
      <c r="R15" s="448" t="s"/>
      <c r="S15" s="448" t="s"/>
      <c r="T15" s="454">
        <f>SUM(M15:P15)*45</f>
        <v>2205</v>
      </c>
    </row>
    <row r="16" spans="1:20">
      <c r="A16" s="441" t="s">
        <v>384</v>
      </c>
      <c r="M16" s="447" t="s"/>
      <c r="N16" s="447">
        <v>7</v>
      </c>
      <c r="O16" s="447">
        <v>21</v>
      </c>
      <c r="P16" s="447">
        <v>21</v>
      </c>
      <c r="Q16" s="448" t="s"/>
      <c r="R16" s="448" t="s"/>
      <c r="S16" s="448" t="s"/>
      <c r="T16" s="454">
        <f>SUM(M16:P16)*45</f>
        <v>2205</v>
      </c>
    </row>
    <row r="17" spans="1:20">
      <c r="A17" s="441" t="s">
        <v>385</v>
      </c>
      <c r="M17" s="447" t="s"/>
      <c r="N17" s="447" t="s"/>
      <c r="O17" s="447">
        <v>5</v>
      </c>
      <c r="P17" s="447">
        <v>21</v>
      </c>
      <c r="Q17" s="448" t="s"/>
      <c r="R17" s="448" t="s"/>
      <c r="S17" s="448" t="s"/>
      <c r="T17" s="454">
        <f>SUM(M17:P17)*45</f>
        <v>1170</v>
      </c>
    </row>
    <row r="18" spans="1:19">
      <c r="A18" s="441" t="s">
        <v>386</v>
      </c>
      <c r="K18" t="s">
        <v>209</v>
      </c>
      <c r="M18" s="448" t="s"/>
      <c r="N18" s="448" t="s"/>
      <c r="O18" s="448" t="s"/>
      <c r="P18" s="448" t="s"/>
      <c r="Q18" s="448" t="s"/>
      <c r="R18" s="448" t="s"/>
      <c r="S18" s="448" t="s"/>
    </row>
    <row r="19" spans="1:19" ht="42.75" customHeight="1">
      <c r="A19" s="443" t="s">
        <v>377</v>
      </c>
      <c r="B19" s="452" t="s"/>
      <c r="C19" s="452" t="s"/>
      <c r="D19" s="452" t="s"/>
      <c r="E19" s="452" t="s"/>
      <c r="F19" s="452" t="s"/>
      <c r="G19" s="455" t="s"/>
      <c r="H19" s="455" t="s"/>
      <c r="I19" s="455" t="s"/>
      <c r="J19" s="455" t="s"/>
      <c r="K19" s="455" t="s"/>
      <c r="L19" s="455" t="s"/>
      <c r="M19" s="456">
        <f>SUM(M3:M17)*45</f>
        <v>3645</v>
      </c>
      <c r="N19" s="456">
        <f>SUM(N3:N17)*45</f>
        <v>4905</v>
      </c>
      <c r="O19" s="456">
        <f>SUM(O3:O17)*45</f>
        <v>7605</v>
      </c>
      <c r="P19" s="456">
        <f>SUM(P3:P17)*45</f>
        <v>4725</v>
      </c>
      <c r="Q19" s="457" t="s"/>
      <c r="R19" s="457" t="s"/>
      <c r="S19" s="457" t="s"/>
    </row>
    <row r="22" spans="7:12">
      <c r="G22" s="455" t="s"/>
      <c r="H22" s="455" t="s"/>
      <c r="I22" s="455" t="s"/>
      <c r="J22" s="455" t="s"/>
      <c r="K22" s="455" t="s"/>
      <c r="L22" s="455" t="s"/>
    </row>
    <row r="23" spans="7:12">
      <c r="G23" s="455" t="s"/>
      <c r="H23" s="455" t="s"/>
      <c r="I23" s="455" t="s"/>
      <c r="J23" s="455" t="s"/>
      <c r="K23" s="455" t="s"/>
      <c r="L23" s="455" t="s"/>
    </row>
  </sheetData>
  <mergeCells count="2">
    <mergeCell ref="B1:G1"/>
    <mergeCell ref="H1:S1"/>
  </mergeCells>
  <hyperlinks>
    <hyperlink ref="Z3" r:id="rId0"/>
    <hyperlink ref="Z4" r:id="rId1"/>
    <hyperlink ref="Z5" r:id="rId2"/>
    <hyperlink ref="Z6" r:id="rId3"/>
    <hyperlink ref="Z7" r:id="rId4"/>
    <hyperlink ref="Z8" r:id="rId5"/>
    <hyperlink ref="Z9" r:id="rId2"/>
    <hyperlink ref="Z10" r:id="rId6"/>
  </hyperlinks>
</worksheet>
</file>

<file path=xl/worksheets/sheet6.xml><?xml version="1.0" encoding="utf-8"?>
<worksheet xmlns="http://schemas.openxmlformats.org/spreadsheetml/2006/main">
  <sheetPr codeName="公司债摸底">
    <tabColor/>
  </sheetPr>
  <dimension ref="D336"/>
  <sheetViews>
    <sheetView showGridLines="1" workbookViewId="0"/>
  </sheetViews>
  <sheetFormatPr baseColWidth="13" defaultRowHeight="18" customHeight="1"/>
  <cols>
    <col min="1" max="1" width="17.6719" customWidth="1"/>
    <col min="2" max="2" width="41.2734" customWidth="1"/>
    <col min="4" max="4" width="31.6914" customWidth="1"/>
    <col min="5" max="5" width="43.9727" customWidth="1"/>
  </cols>
  <sheetData>
    <row r="1" spans="1:7" ht="21.75" customHeight="1">
      <c r="A1" s="458" t="s">
        <v>387</v>
      </c>
      <c r="B1" s="459" t="s">
        <v>388</v>
      </c>
      <c r="C1" s="458" t="s">
        <v>389</v>
      </c>
      <c r="D1" s="460" t="s">
        <v>390</v>
      </c>
      <c r="E1" s="461" t="s">
        <v>391</v>
      </c>
      <c r="G1" s="462" t="s">
        <v>392</v>
      </c>
    </row>
    <row r="2" spans="1:5" ht="45" customHeight="1">
      <c r="A2" s="463">
        <v>1</v>
      </c>
      <c r="B2" s="464" t="s">
        <v>393</v>
      </c>
      <c r="C2" s="465" t="s">
        <v>394</v>
      </c>
      <c r="D2" s="466" t="s">
        <v>395</v>
      </c>
      <c r="E2" s="467" t="s"/>
    </row>
    <row r="3" spans="1:5" ht="45" customHeight="1">
      <c r="A3" s="463">
        <v>2</v>
      </c>
      <c r="B3" s="464" t="s">
        <v>396</v>
      </c>
      <c r="C3" s="465" t="s">
        <v>397</v>
      </c>
      <c r="D3" s="466" t="s">
        <v>395</v>
      </c>
      <c r="E3" s="467" t="s"/>
    </row>
    <row r="4" spans="1:5" ht="30" customHeight="1">
      <c r="A4" s="463">
        <v>3</v>
      </c>
      <c r="B4" s="464" t="s">
        <v>398</v>
      </c>
      <c r="C4" s="465" t="s">
        <v>399</v>
      </c>
      <c r="D4" s="466" t="s">
        <v>395</v>
      </c>
      <c r="E4" s="467" t="s"/>
    </row>
    <row r="5" spans="1:5" ht="45" customHeight="1">
      <c r="A5" s="463">
        <v>4</v>
      </c>
      <c r="B5" s="464" t="s">
        <v>400</v>
      </c>
      <c r="C5" s="465" t="s">
        <v>401</v>
      </c>
      <c r="D5" s="466" t="s">
        <v>395</v>
      </c>
      <c r="E5" s="467" t="s"/>
    </row>
    <row r="6" spans="1:5" ht="30" customHeight="1">
      <c r="A6" s="463">
        <v>5</v>
      </c>
      <c r="B6" s="464" t="s">
        <v>402</v>
      </c>
      <c r="C6" s="465" t="s">
        <v>403</v>
      </c>
      <c r="D6" s="466" t="s">
        <v>395</v>
      </c>
      <c r="E6" s="467" t="s"/>
    </row>
    <row r="7" spans="1:5">
      <c r="A7" s="463">
        <v>6</v>
      </c>
      <c r="B7" s="464" t="s">
        <v>404</v>
      </c>
      <c r="C7" s="465" t="s">
        <v>54</v>
      </c>
      <c r="D7" s="466" t="s">
        <v>395</v>
      </c>
      <c r="E7" s="467" t="s"/>
    </row>
    <row r="8" spans="1:5">
      <c r="A8" s="463">
        <v>7</v>
      </c>
      <c r="B8" s="464" t="s">
        <v>405</v>
      </c>
      <c r="C8" s="465" t="s">
        <v>406</v>
      </c>
      <c r="D8" s="466" t="s">
        <v>395</v>
      </c>
      <c r="E8" s="467" t="s"/>
    </row>
    <row r="9" spans="1:5">
      <c r="A9" s="463">
        <v>8</v>
      </c>
      <c r="B9" s="464" t="s">
        <v>407</v>
      </c>
      <c r="C9" s="465" t="s">
        <v>279</v>
      </c>
      <c r="D9" s="466" t="s">
        <v>395</v>
      </c>
      <c r="E9" s="467" t="s"/>
    </row>
    <row r="10" spans="1:5">
      <c r="A10" s="463">
        <v>9</v>
      </c>
      <c r="B10" s="464" t="s">
        <v>408</v>
      </c>
      <c r="C10" s="465" t="s">
        <v>409</v>
      </c>
      <c r="D10" s="466" t="s">
        <v>395</v>
      </c>
      <c r="E10" s="467" t="s"/>
    </row>
    <row r="11" spans="1:5">
      <c r="A11" s="463">
        <v>10</v>
      </c>
      <c r="B11" s="464" t="s">
        <v>410</v>
      </c>
      <c r="C11" s="465" t="s">
        <v>411</v>
      </c>
      <c r="D11" s="466" t="s">
        <v>395</v>
      </c>
      <c r="E11" s="467" t="s"/>
    </row>
    <row r="12" spans="1:5">
      <c r="A12" s="463">
        <v>11</v>
      </c>
      <c r="B12" s="464" t="s">
        <v>412</v>
      </c>
      <c r="C12" s="465" t="s">
        <v>54</v>
      </c>
      <c r="D12" s="466" t="s">
        <v>395</v>
      </c>
      <c r="E12" s="467" t="s"/>
    </row>
    <row r="13" spans="1:5">
      <c r="A13" s="463">
        <v>12</v>
      </c>
      <c r="B13" s="464" t="s">
        <v>413</v>
      </c>
      <c r="C13" s="465" t="s">
        <v>414</v>
      </c>
      <c r="D13" s="466" t="s">
        <v>395</v>
      </c>
      <c r="E13" s="467" t="s"/>
    </row>
    <row r="14" spans="1:5">
      <c r="A14" s="463">
        <v>13</v>
      </c>
      <c r="B14" s="464" t="s">
        <v>415</v>
      </c>
      <c r="C14" s="465" t="s">
        <v>416</v>
      </c>
      <c r="D14" s="466" t="s">
        <v>395</v>
      </c>
      <c r="E14" s="467" t="s"/>
    </row>
    <row r="15" spans="1:5">
      <c r="A15" s="463">
        <v>14</v>
      </c>
      <c r="B15" s="464" t="s">
        <v>417</v>
      </c>
      <c r="C15" s="465" t="s">
        <v>418</v>
      </c>
      <c r="D15" s="466" t="s">
        <v>395</v>
      </c>
      <c r="E15" s="467" t="s"/>
    </row>
    <row r="16" spans="1:5">
      <c r="A16" s="463">
        <v>15</v>
      </c>
      <c r="B16" s="464" t="s">
        <v>419</v>
      </c>
      <c r="C16" s="465" t="s">
        <v>420</v>
      </c>
      <c r="D16" s="466" t="s">
        <v>395</v>
      </c>
      <c r="E16" s="467" t="s"/>
    </row>
    <row r="17" spans="1:5">
      <c r="A17" s="463">
        <v>16</v>
      </c>
      <c r="B17" s="464" t="s">
        <v>421</v>
      </c>
      <c r="C17" s="465" t="s"/>
      <c r="D17" s="466" t="s">
        <v>395</v>
      </c>
      <c r="E17" s="467" t="s"/>
    </row>
    <row r="18" spans="1:5">
      <c r="A18" s="463">
        <v>17</v>
      </c>
      <c r="B18" s="464" t="s">
        <v>422</v>
      </c>
      <c r="C18" s="465" t="s"/>
      <c r="D18" s="466" t="s">
        <v>395</v>
      </c>
      <c r="E18" s="467" t="s"/>
    </row>
    <row r="19" spans="1:5">
      <c r="A19" s="463">
        <v>18</v>
      </c>
      <c r="B19" s="464" t="s">
        <v>423</v>
      </c>
      <c r="C19" s="465" t="s">
        <v>424</v>
      </c>
      <c r="D19" s="466" t="s">
        <v>395</v>
      </c>
      <c r="E19" s="467" t="s"/>
    </row>
    <row r="20" spans="1:5">
      <c r="A20" s="463">
        <v>19</v>
      </c>
      <c r="B20" s="464" t="s">
        <v>425</v>
      </c>
      <c r="C20" s="465" t="s">
        <v>201</v>
      </c>
      <c r="D20" s="466" t="s">
        <v>395</v>
      </c>
      <c r="E20" s="467" t="s">
        <v>426</v>
      </c>
    </row>
    <row r="21" spans="1:5">
      <c r="A21" s="463">
        <v>20</v>
      </c>
      <c r="B21" s="464" t="s">
        <v>427</v>
      </c>
      <c r="C21" s="465" t="s">
        <v>428</v>
      </c>
      <c r="D21" s="466" t="s">
        <v>395</v>
      </c>
      <c r="E21" s="467" t="s"/>
    </row>
    <row r="22" spans="1:5">
      <c r="A22" s="463">
        <v>21</v>
      </c>
      <c r="B22" s="464" t="s">
        <v>429</v>
      </c>
      <c r="C22" s="465" t="s">
        <v>430</v>
      </c>
      <c r="D22" s="466" t="s">
        <v>395</v>
      </c>
      <c r="E22" s="467" t="s"/>
    </row>
    <row r="23" spans="1:5">
      <c r="A23" s="463">
        <v>22</v>
      </c>
      <c r="B23" s="464" t="s">
        <v>431</v>
      </c>
      <c r="C23" s="465" t="s">
        <v>54</v>
      </c>
      <c r="D23" s="466" t="s">
        <v>395</v>
      </c>
      <c r="E23" s="467" t="s"/>
    </row>
    <row r="24" spans="1:5">
      <c r="A24" s="463">
        <v>23</v>
      </c>
      <c r="B24" s="464" t="s">
        <v>432</v>
      </c>
      <c r="C24" s="465" t="s">
        <v>433</v>
      </c>
      <c r="D24" s="466" t="s">
        <v>395</v>
      </c>
      <c r="E24" s="467" t="s"/>
    </row>
    <row r="25" spans="1:5">
      <c r="A25" s="463">
        <v>24</v>
      </c>
      <c r="B25" s="464" t="s">
        <v>434</v>
      </c>
      <c r="C25" s="465" t="s">
        <v>201</v>
      </c>
      <c r="D25" s="466" t="s">
        <v>395</v>
      </c>
      <c r="E25" s="468" t="s"/>
    </row>
    <row r="26" spans="1:5">
      <c r="A26" s="463">
        <v>25</v>
      </c>
      <c r="B26" s="464" t="s">
        <v>435</v>
      </c>
      <c r="C26" s="465" t="s">
        <v>436</v>
      </c>
      <c r="D26" s="466" t="s">
        <v>395</v>
      </c>
      <c r="E26" s="467" t="s"/>
    </row>
    <row r="27" spans="1:5">
      <c r="A27" s="463">
        <v>26</v>
      </c>
      <c r="B27" s="464" t="s">
        <v>437</v>
      </c>
      <c r="C27" s="465" t="s">
        <v>403</v>
      </c>
      <c r="D27" s="466" t="s">
        <v>395</v>
      </c>
      <c r="E27" s="467" t="s"/>
    </row>
    <row r="28" spans="1:5">
      <c r="A28" s="463">
        <v>27</v>
      </c>
      <c r="B28" s="464" t="s">
        <v>438</v>
      </c>
      <c r="C28" s="465" t="s">
        <v>439</v>
      </c>
      <c r="D28" s="466" t="s">
        <v>395</v>
      </c>
      <c r="E28" s="467" t="s"/>
    </row>
    <row r="29" spans="1:5">
      <c r="A29" s="463">
        <v>28</v>
      </c>
      <c r="B29" s="464" t="s">
        <v>440</v>
      </c>
      <c r="C29" s="465" t="s">
        <v>403</v>
      </c>
      <c r="D29" s="466" t="s">
        <v>395</v>
      </c>
      <c r="E29" s="467" t="s"/>
    </row>
    <row r="30" spans="1:5">
      <c r="A30" s="463">
        <v>29</v>
      </c>
      <c r="B30" s="464" t="s">
        <v>441</v>
      </c>
      <c r="C30" s="465" t="s">
        <v>442</v>
      </c>
      <c r="D30" s="466" t="s">
        <v>395</v>
      </c>
      <c r="E30" s="467" t="s"/>
    </row>
    <row r="31" spans="1:5">
      <c r="A31" s="463">
        <v>30</v>
      </c>
      <c r="B31" s="464" t="s">
        <v>443</v>
      </c>
      <c r="C31" s="465" t="s">
        <v>403</v>
      </c>
      <c r="D31" s="466" t="s">
        <v>395</v>
      </c>
      <c r="E31" s="467" t="s"/>
    </row>
    <row r="32" spans="1:5">
      <c r="A32" s="463">
        <v>31</v>
      </c>
      <c r="B32" s="469" t="s">
        <v>444</v>
      </c>
      <c r="C32" s="465" t="s">
        <v>403</v>
      </c>
      <c r="D32" s="466" t="s">
        <v>395</v>
      </c>
      <c r="E32" s="467" t="s"/>
    </row>
    <row r="33" spans="1:5">
      <c r="A33" s="470">
        <v>32</v>
      </c>
      <c r="B33" s="471" t="s">
        <v>445</v>
      </c>
      <c r="C33" s="472" t="s">
        <v>134</v>
      </c>
      <c r="D33" s="466" t="s">
        <v>395</v>
      </c>
      <c r="E33" s="467" t="s"/>
    </row>
    <row r="34" spans="1:5">
      <c r="A34" s="473">
        <v>33</v>
      </c>
      <c r="B34" s="474" t="s">
        <v>446</v>
      </c>
      <c r="C34" s="475" t="s">
        <v>447</v>
      </c>
      <c r="D34" s="466" t="s">
        <v>395</v>
      </c>
      <c r="E34" s="467" t="s"/>
    </row>
    <row r="35" spans="1:5">
      <c r="A35" s="473">
        <v>34</v>
      </c>
      <c r="B35" s="474" t="s">
        <v>448</v>
      </c>
      <c r="C35" s="475" t="s">
        <v>449</v>
      </c>
      <c r="D35" s="466" t="s">
        <v>395</v>
      </c>
      <c r="E35" s="467" t="s"/>
    </row>
    <row r="36" spans="1:5">
      <c r="A36" s="473">
        <v>35</v>
      </c>
      <c r="B36" s="474" t="s">
        <v>450</v>
      </c>
      <c r="C36" s="475" t="s">
        <v>451</v>
      </c>
      <c r="D36" s="466" t="s">
        <v>395</v>
      </c>
      <c r="E36" s="467" t="s"/>
    </row>
    <row r="37" spans="1:5">
      <c r="A37" s="473">
        <v>36</v>
      </c>
      <c r="B37" s="474" t="s">
        <v>452</v>
      </c>
      <c r="C37" s="475" t="s">
        <v>453</v>
      </c>
      <c r="D37" s="466" t="s">
        <v>395</v>
      </c>
      <c r="E37" s="467" t="s"/>
    </row>
    <row r="38" spans="1:5">
      <c r="A38" s="473">
        <v>37</v>
      </c>
      <c r="B38" s="474" t="s">
        <v>454</v>
      </c>
      <c r="C38" s="475" t="s">
        <v>447</v>
      </c>
      <c r="D38" s="466" t="s">
        <v>395</v>
      </c>
      <c r="E38" s="467" t="s"/>
    </row>
    <row r="39" spans="1:5">
      <c r="A39" s="473">
        <v>38</v>
      </c>
      <c r="B39" s="474" t="s">
        <v>455</v>
      </c>
      <c r="C39" s="475" t="s">
        <v>456</v>
      </c>
      <c r="D39" s="466" t="s">
        <v>395</v>
      </c>
      <c r="E39" s="467" t="s"/>
    </row>
    <row r="40" spans="1:5">
      <c r="A40" s="473">
        <v>39</v>
      </c>
      <c r="B40" s="474" t="s">
        <v>457</v>
      </c>
      <c r="C40" s="475" t="s">
        <v>458</v>
      </c>
      <c r="D40" s="466" t="s">
        <v>395</v>
      </c>
      <c r="E40" s="468" t="s">
        <v>459</v>
      </c>
    </row>
    <row r="41" spans="1:5">
      <c r="A41" s="473">
        <v>40</v>
      </c>
      <c r="B41" s="474" t="s">
        <v>460</v>
      </c>
      <c r="C41" s="475" t="s">
        <v>461</v>
      </c>
      <c r="D41" s="466" t="s">
        <v>395</v>
      </c>
      <c r="E41" s="467" t="s"/>
    </row>
    <row r="42" spans="1:5">
      <c r="A42" s="473">
        <v>41</v>
      </c>
      <c r="B42" s="474" t="s">
        <v>462</v>
      </c>
      <c r="C42" s="475" t="s">
        <v>463</v>
      </c>
      <c r="D42" s="466" t="s">
        <v>395</v>
      </c>
      <c r="E42" s="467" t="s"/>
    </row>
    <row r="43" spans="1:5">
      <c r="A43" s="473">
        <v>42</v>
      </c>
      <c r="B43" s="474" t="s">
        <v>464</v>
      </c>
      <c r="C43" s="475" t="s">
        <v>451</v>
      </c>
      <c r="D43" s="466" t="s">
        <v>395</v>
      </c>
      <c r="E43" s="467" t="s"/>
    </row>
    <row r="44" spans="1:5">
      <c r="A44" s="473">
        <v>43</v>
      </c>
      <c r="B44" s="474" t="s">
        <v>465</v>
      </c>
      <c r="C44" s="475" t="s">
        <v>447</v>
      </c>
      <c r="D44" s="466" t="s">
        <v>395</v>
      </c>
      <c r="E44" s="467" t="s"/>
    </row>
    <row r="45" spans="1:5">
      <c r="A45" s="473">
        <v>44</v>
      </c>
      <c r="B45" s="474" t="s">
        <v>466</v>
      </c>
      <c r="C45" s="475" t="s">
        <v>453</v>
      </c>
      <c r="D45" s="466" t="s">
        <v>395</v>
      </c>
      <c r="E45" s="467" t="s"/>
    </row>
    <row r="46" spans="1:5">
      <c r="A46" s="473">
        <v>45</v>
      </c>
      <c r="B46" s="474" t="s">
        <v>467</v>
      </c>
      <c r="C46" s="475" t="s">
        <v>468</v>
      </c>
      <c r="D46" s="466" t="s">
        <v>395</v>
      </c>
      <c r="E46" s="467" t="s"/>
    </row>
    <row r="47" spans="1:5">
      <c r="A47" s="473">
        <v>46</v>
      </c>
      <c r="B47" s="474" t="s">
        <v>469</v>
      </c>
      <c r="C47" s="475" t="s">
        <v>447</v>
      </c>
      <c r="D47" s="466" t="s">
        <v>395</v>
      </c>
      <c r="E47" s="467" t="s"/>
    </row>
    <row r="48" spans="1:5">
      <c r="A48" s="473">
        <v>47</v>
      </c>
      <c r="B48" s="474" t="s">
        <v>470</v>
      </c>
      <c r="C48" s="475" t="s">
        <v>471</v>
      </c>
      <c r="D48" s="466" t="s">
        <v>395</v>
      </c>
      <c r="E48" s="467" t="s"/>
    </row>
    <row r="49" spans="1:5">
      <c r="A49" s="473">
        <v>48</v>
      </c>
      <c r="B49" s="474" t="s">
        <v>472</v>
      </c>
      <c r="C49" s="475" t="s">
        <v>473</v>
      </c>
      <c r="D49" s="466" t="s">
        <v>395</v>
      </c>
      <c r="E49" s="467" t="s"/>
    </row>
    <row r="50" spans="1:5">
      <c r="A50" s="473">
        <v>49</v>
      </c>
      <c r="B50" s="474" t="s">
        <v>474</v>
      </c>
      <c r="C50" s="475" t="s">
        <v>475</v>
      </c>
      <c r="D50" s="466" t="s">
        <v>279</v>
      </c>
      <c r="E50" s="467" t="s">
        <v>476</v>
      </c>
    </row>
    <row r="51" spans="1:5">
      <c r="A51" s="473">
        <v>50</v>
      </c>
      <c r="B51" s="474" t="s">
        <v>477</v>
      </c>
      <c r="C51" s="475" t="s">
        <v>449</v>
      </c>
      <c r="D51" s="466" t="s">
        <v>395</v>
      </c>
      <c r="E51" s="467" t="s"/>
    </row>
    <row r="52" spans="1:5">
      <c r="A52" s="473">
        <v>51</v>
      </c>
      <c r="B52" s="474" t="s">
        <v>478</v>
      </c>
      <c r="C52" s="475" t="s">
        <v>479</v>
      </c>
      <c r="D52" s="466" t="s">
        <v>395</v>
      </c>
      <c r="E52" s="467" t="s"/>
    </row>
    <row r="53" spans="1:5">
      <c r="A53" s="473">
        <v>52</v>
      </c>
      <c r="B53" s="474" t="s">
        <v>480</v>
      </c>
      <c r="C53" s="475" t="s">
        <v>463</v>
      </c>
      <c r="D53" s="466" t="s">
        <v>395</v>
      </c>
      <c r="E53" s="467" t="s"/>
    </row>
    <row r="54" spans="1:5">
      <c r="A54" s="473">
        <v>53</v>
      </c>
      <c r="B54" s="474" t="s">
        <v>481</v>
      </c>
      <c r="C54" s="475" t="s">
        <v>449</v>
      </c>
      <c r="D54" s="466" t="s">
        <v>395</v>
      </c>
      <c r="E54" s="467" t="s"/>
    </row>
    <row r="55" spans="1:5">
      <c r="A55" s="473">
        <v>54</v>
      </c>
      <c r="B55" s="474" t="s">
        <v>482</v>
      </c>
      <c r="C55" s="475" t="s">
        <v>479</v>
      </c>
      <c r="D55" s="466" t="s">
        <v>395</v>
      </c>
      <c r="E55" s="467" t="s"/>
    </row>
    <row r="56" spans="1:5">
      <c r="A56" s="473">
        <v>55</v>
      </c>
      <c r="B56" s="474" t="s">
        <v>483</v>
      </c>
      <c r="C56" s="475" t="s">
        <v>484</v>
      </c>
      <c r="D56" s="466" t="s">
        <v>395</v>
      </c>
      <c r="E56" s="467" t="s"/>
    </row>
    <row r="57" spans="1:5">
      <c r="A57" s="473">
        <v>56</v>
      </c>
      <c r="B57" s="474" t="s">
        <v>485</v>
      </c>
      <c r="C57" s="475" t="s">
        <v>486</v>
      </c>
      <c r="D57" s="466" t="s">
        <v>395</v>
      </c>
      <c r="E57" s="467" t="s"/>
    </row>
    <row r="58" spans="1:5">
      <c r="A58" s="473">
        <v>57</v>
      </c>
      <c r="B58" s="474" t="s">
        <v>487</v>
      </c>
      <c r="C58" s="475" t="s">
        <v>488</v>
      </c>
      <c r="D58" s="466" t="s">
        <v>395</v>
      </c>
      <c r="E58" s="467" t="s"/>
    </row>
    <row r="59" spans="1:5">
      <c r="A59" s="473">
        <v>58</v>
      </c>
      <c r="B59" s="474" t="s">
        <v>489</v>
      </c>
      <c r="C59" s="475" t="s">
        <v>490</v>
      </c>
      <c r="D59" s="466" t="s">
        <v>395</v>
      </c>
      <c r="E59" s="467" t="s"/>
    </row>
    <row r="60" spans="1:5">
      <c r="A60" s="473">
        <v>59</v>
      </c>
      <c r="B60" s="474" t="s">
        <v>491</v>
      </c>
      <c r="C60" s="475" t="s">
        <v>492</v>
      </c>
      <c r="D60" s="466" t="s">
        <v>395</v>
      </c>
      <c r="E60" s="467" t="s"/>
    </row>
    <row r="61" spans="1:5">
      <c r="A61" s="473">
        <v>60</v>
      </c>
      <c r="B61" s="474" t="s">
        <v>493</v>
      </c>
      <c r="C61" s="475" t="s">
        <v>494</v>
      </c>
      <c r="D61" s="466" t="s">
        <v>395</v>
      </c>
      <c r="E61" s="467" t="s"/>
    </row>
    <row r="62" spans="1:5">
      <c r="A62" s="473">
        <v>61</v>
      </c>
      <c r="B62" s="474" t="s">
        <v>495</v>
      </c>
      <c r="C62" s="475" t="s">
        <v>447</v>
      </c>
      <c r="D62" s="466" t="s">
        <v>395</v>
      </c>
      <c r="E62" s="467" t="s"/>
    </row>
    <row r="63" spans="1:5">
      <c r="A63" s="473">
        <v>62</v>
      </c>
      <c r="B63" s="474" t="s">
        <v>496</v>
      </c>
      <c r="C63" s="475" t="s">
        <v>447</v>
      </c>
      <c r="D63" s="466" t="s">
        <v>395</v>
      </c>
      <c r="E63" s="467" t="s"/>
    </row>
    <row r="64" spans="1:5">
      <c r="A64" s="473">
        <v>63</v>
      </c>
      <c r="B64" s="474" t="s">
        <v>497</v>
      </c>
      <c r="C64" s="475" t="s">
        <v>479</v>
      </c>
      <c r="D64" s="466" t="s">
        <v>395</v>
      </c>
      <c r="E64" s="467" t="s"/>
    </row>
    <row r="65" spans="1:5">
      <c r="A65" s="473">
        <v>64</v>
      </c>
      <c r="B65" s="474" t="s">
        <v>498</v>
      </c>
      <c r="C65" s="475" t="s">
        <v>449</v>
      </c>
      <c r="D65" s="466" t="s">
        <v>395</v>
      </c>
      <c r="E65" s="467" t="s"/>
    </row>
    <row r="66" spans="1:5">
      <c r="A66" s="473">
        <v>65</v>
      </c>
      <c r="B66" s="474" t="s">
        <v>499</v>
      </c>
      <c r="C66" s="475" t="s">
        <v>500</v>
      </c>
      <c r="D66" s="466" t="s">
        <v>395</v>
      </c>
      <c r="E66" s="467" t="s"/>
    </row>
    <row r="67" spans="1:5">
      <c r="A67" s="473">
        <v>66</v>
      </c>
      <c r="B67" s="474" t="s">
        <v>501</v>
      </c>
      <c r="C67" s="475" t="s">
        <v>458</v>
      </c>
      <c r="D67" s="466" t="s">
        <v>395</v>
      </c>
      <c r="E67" s="467" t="s"/>
    </row>
    <row r="68" spans="1:5">
      <c r="A68" s="473">
        <v>67</v>
      </c>
      <c r="B68" s="474" t="s">
        <v>502</v>
      </c>
      <c r="C68" s="475" t="s">
        <v>475</v>
      </c>
      <c r="D68" s="466" t="s">
        <v>395</v>
      </c>
      <c r="E68" s="467" t="s"/>
    </row>
    <row r="69" spans="1:5">
      <c r="A69" s="473">
        <v>68</v>
      </c>
      <c r="B69" s="474" t="s">
        <v>503</v>
      </c>
      <c r="C69" s="475" t="s">
        <v>504</v>
      </c>
      <c r="D69" s="466" t="s">
        <v>395</v>
      </c>
      <c r="E69" s="467" t="s"/>
    </row>
    <row r="70" spans="1:5">
      <c r="A70" s="473">
        <v>69</v>
      </c>
      <c r="B70" s="474" t="s">
        <v>505</v>
      </c>
      <c r="C70" s="475" t="s">
        <v>447</v>
      </c>
      <c r="D70" s="466" t="s">
        <v>395</v>
      </c>
      <c r="E70" s="467" t="s"/>
    </row>
    <row r="71" spans="1:5">
      <c r="A71" s="473">
        <v>70</v>
      </c>
      <c r="B71" s="474" t="s">
        <v>506</v>
      </c>
      <c r="C71" s="475" t="s">
        <v>447</v>
      </c>
      <c r="D71" s="466" t="s">
        <v>507</v>
      </c>
      <c r="E71" s="467" t="s">
        <v>476</v>
      </c>
    </row>
    <row r="72" spans="1:5">
      <c r="A72" s="473">
        <v>71</v>
      </c>
      <c r="B72" s="474" t="s">
        <v>508</v>
      </c>
      <c r="C72" s="475" t="s">
        <v>449</v>
      </c>
      <c r="D72" s="466" t="s">
        <v>395</v>
      </c>
      <c r="E72" s="467" t="s"/>
    </row>
    <row r="73" spans="1:5">
      <c r="A73" s="473">
        <v>72</v>
      </c>
      <c r="B73" s="474" t="s">
        <v>509</v>
      </c>
      <c r="C73" s="475" t="s">
        <v>475</v>
      </c>
      <c r="D73" s="466" t="s">
        <v>395</v>
      </c>
      <c r="E73" s="467" t="s"/>
    </row>
    <row r="74" spans="1:5">
      <c r="A74" s="473">
        <v>73</v>
      </c>
      <c r="B74" s="474" t="s">
        <v>510</v>
      </c>
      <c r="C74" s="475" t="s">
        <v>461</v>
      </c>
      <c r="D74" s="466" t="s">
        <v>395</v>
      </c>
      <c r="E74" s="467" t="s"/>
    </row>
    <row r="75" spans="1:5">
      <c r="A75" s="473">
        <v>74</v>
      </c>
      <c r="B75" s="474" t="s">
        <v>511</v>
      </c>
      <c r="C75" s="475" t="s">
        <v>512</v>
      </c>
      <c r="D75" s="466" t="s">
        <v>395</v>
      </c>
      <c r="E75" s="467" t="s"/>
    </row>
    <row r="76" spans="1:5">
      <c r="A76" s="473">
        <v>75</v>
      </c>
      <c r="B76" s="474" t="s">
        <v>513</v>
      </c>
      <c r="C76" s="475" t="s">
        <v>488</v>
      </c>
      <c r="D76" s="466" t="s">
        <v>395</v>
      </c>
      <c r="E76" s="467" t="s"/>
    </row>
    <row r="77" spans="1:5">
      <c r="A77" s="473">
        <v>76</v>
      </c>
      <c r="B77" s="474" t="s">
        <v>514</v>
      </c>
      <c r="C77" s="475" t="s">
        <v>494</v>
      </c>
      <c r="D77" s="466" t="s">
        <v>395</v>
      </c>
      <c r="E77" s="467" t="s"/>
    </row>
    <row r="78" spans="1:5">
      <c r="A78" s="473">
        <v>77</v>
      </c>
      <c r="B78" s="474" t="s">
        <v>515</v>
      </c>
      <c r="C78" s="475" t="s">
        <v>449</v>
      </c>
      <c r="D78" s="466" t="s">
        <v>395</v>
      </c>
      <c r="E78" s="467" t="s"/>
    </row>
    <row r="79" spans="1:5">
      <c r="A79" s="473">
        <v>78</v>
      </c>
      <c r="B79" s="474" t="s">
        <v>516</v>
      </c>
      <c r="C79" s="475" t="s">
        <v>492</v>
      </c>
      <c r="D79" s="466" t="s">
        <v>395</v>
      </c>
      <c r="E79" s="467" t="s"/>
    </row>
    <row r="80" spans="1:5">
      <c r="A80" s="473">
        <v>79</v>
      </c>
      <c r="B80" s="474" t="s">
        <v>517</v>
      </c>
      <c r="C80" s="475" t="s">
        <v>471</v>
      </c>
      <c r="D80" s="466" t="s">
        <v>395</v>
      </c>
      <c r="E80" s="467" t="s"/>
    </row>
    <row r="81" spans="1:5">
      <c r="A81" s="473">
        <v>80</v>
      </c>
      <c r="B81" s="474" t="s">
        <v>518</v>
      </c>
      <c r="C81" s="475" t="s">
        <v>519</v>
      </c>
      <c r="D81" s="476" t="s"/>
      <c r="E81" s="467" t="s"/>
    </row>
    <row r="82" spans="1:5">
      <c r="A82" s="473">
        <v>81</v>
      </c>
      <c r="B82" s="474" t="s">
        <v>520</v>
      </c>
      <c r="C82" s="475" t="s">
        <v>521</v>
      </c>
      <c r="D82" s="466" t="s">
        <v>112</v>
      </c>
      <c r="E82" s="467" t="s"/>
    </row>
    <row r="83" spans="1:5">
      <c r="A83" s="473">
        <v>82</v>
      </c>
      <c r="B83" s="474" t="s">
        <v>522</v>
      </c>
      <c r="C83" s="475" t="s">
        <v>475</v>
      </c>
      <c r="D83" s="466" t="s">
        <v>428</v>
      </c>
      <c r="E83" s="467" t="s"/>
    </row>
    <row r="84" spans="1:5">
      <c r="A84" s="473">
        <v>83</v>
      </c>
      <c r="B84" s="474" t="s">
        <v>523</v>
      </c>
      <c r="C84" s="475" t="s">
        <v>475</v>
      </c>
      <c r="D84" s="466" t="s">
        <v>524</v>
      </c>
      <c r="E84" s="467" t="s"/>
    </row>
    <row r="85" spans="1:5">
      <c r="A85" s="473">
        <v>84</v>
      </c>
      <c r="B85" s="474" t="s">
        <v>525</v>
      </c>
      <c r="C85" s="475" t="s">
        <v>468</v>
      </c>
      <c r="D85" s="466" t="s">
        <v>201</v>
      </c>
      <c r="E85" s="467" t="s"/>
    </row>
    <row r="86" spans="1:5">
      <c r="A86" s="473">
        <v>85</v>
      </c>
      <c r="B86" s="474" t="s">
        <v>526</v>
      </c>
      <c r="C86" s="475" t="s">
        <v>449</v>
      </c>
      <c r="D86" s="466" t="s">
        <v>395</v>
      </c>
      <c r="E86" s="467" t="s"/>
    </row>
    <row r="87" spans="1:5">
      <c r="A87" s="473">
        <v>86</v>
      </c>
      <c r="B87" s="474" t="s">
        <v>527</v>
      </c>
      <c r="C87" s="475" t="s">
        <v>449</v>
      </c>
      <c r="D87" s="466" t="s">
        <v>134</v>
      </c>
      <c r="E87" s="467" t="s"/>
    </row>
    <row r="88" spans="1:5">
      <c r="A88" s="473">
        <v>87</v>
      </c>
      <c r="B88" s="474" t="s">
        <v>528</v>
      </c>
      <c r="C88" s="475" t="s">
        <v>449</v>
      </c>
      <c r="D88" s="466" t="s">
        <v>112</v>
      </c>
      <c r="E88" s="467" t="s"/>
    </row>
    <row r="89" spans="1:5">
      <c r="A89" s="473">
        <v>88</v>
      </c>
      <c r="B89" s="474" t="s">
        <v>529</v>
      </c>
      <c r="C89" s="475" t="s">
        <v>486</v>
      </c>
      <c r="D89" s="466" t="s">
        <v>530</v>
      </c>
      <c r="E89" s="467" t="s"/>
    </row>
    <row r="90" spans="1:5">
      <c r="A90" s="473">
        <v>89</v>
      </c>
      <c r="B90" s="474" t="s">
        <v>531</v>
      </c>
      <c r="C90" s="475" t="s">
        <v>475</v>
      </c>
      <c r="D90" s="466" t="s">
        <v>532</v>
      </c>
      <c r="E90" s="467" t="s"/>
    </row>
    <row r="91" spans="1:5">
      <c r="A91" s="473">
        <v>90</v>
      </c>
      <c r="B91" s="474" t="s">
        <v>533</v>
      </c>
      <c r="C91" s="475" t="s">
        <v>475</v>
      </c>
      <c r="D91" s="466" t="s">
        <v>534</v>
      </c>
      <c r="E91" s="467" t="s"/>
    </row>
    <row r="92" spans="1:5">
      <c r="A92" s="473">
        <v>91</v>
      </c>
      <c r="B92" s="474" t="s">
        <v>535</v>
      </c>
      <c r="C92" s="475" t="s">
        <v>475</v>
      </c>
      <c r="D92" s="466" t="s">
        <v>54</v>
      </c>
      <c r="E92" s="467" t="s"/>
    </row>
    <row r="93" spans="1:5">
      <c r="A93" s="473">
        <v>92</v>
      </c>
      <c r="B93" s="474" t="s">
        <v>536</v>
      </c>
      <c r="C93" s="475" t="s">
        <v>449</v>
      </c>
      <c r="D93" s="466" t="s">
        <v>279</v>
      </c>
      <c r="E93" s="467" t="s">
        <v>476</v>
      </c>
    </row>
    <row r="94" spans="1:5">
      <c r="A94" s="473">
        <v>93</v>
      </c>
      <c r="B94" s="474" t="s">
        <v>537</v>
      </c>
      <c r="C94" s="475" t="s">
        <v>538</v>
      </c>
      <c r="D94" s="466" t="s">
        <v>201</v>
      </c>
      <c r="E94" s="467" t="s">
        <v>476</v>
      </c>
    </row>
    <row r="95" spans="1:5">
      <c r="A95" s="473">
        <v>94</v>
      </c>
      <c r="B95" s="474" t="s">
        <v>539</v>
      </c>
      <c r="C95" s="475" t="s">
        <v>449</v>
      </c>
      <c r="D95" s="476" t="s"/>
      <c r="E95" s="467" t="s"/>
    </row>
    <row r="96" spans="1:5">
      <c r="A96" s="473">
        <v>95</v>
      </c>
      <c r="B96" s="474" t="s">
        <v>540</v>
      </c>
      <c r="C96" s="475" t="s">
        <v>541</v>
      </c>
      <c r="D96" s="476" t="s"/>
      <c r="E96" s="467" t="s"/>
    </row>
    <row r="97" spans="1:5">
      <c r="A97" s="473">
        <v>96</v>
      </c>
      <c r="B97" s="474" t="s">
        <v>542</v>
      </c>
      <c r="C97" s="475" t="s">
        <v>475</v>
      </c>
      <c r="D97" s="466" t="s">
        <v>543</v>
      </c>
      <c r="E97" s="467" t="s">
        <v>476</v>
      </c>
    </row>
    <row r="98" spans="1:5">
      <c r="A98" s="473">
        <v>97</v>
      </c>
      <c r="B98" s="474" t="s">
        <v>544</v>
      </c>
      <c r="C98" s="475" t="s">
        <v>449</v>
      </c>
      <c r="D98" s="466" t="s">
        <v>543</v>
      </c>
      <c r="E98" s="467" t="s"/>
    </row>
    <row r="99" spans="1:5">
      <c r="A99" s="473">
        <v>98</v>
      </c>
      <c r="B99" s="474" t="s">
        <v>545</v>
      </c>
      <c r="C99" s="475" t="s">
        <v>447</v>
      </c>
      <c r="D99" s="466" t="s">
        <v>403</v>
      </c>
      <c r="E99" s="467" t="s"/>
    </row>
    <row r="100" spans="1:5">
      <c r="A100" s="473">
        <v>99</v>
      </c>
      <c r="B100" s="474" t="s">
        <v>546</v>
      </c>
      <c r="C100" s="475" t="s">
        <v>492</v>
      </c>
      <c r="D100" s="466" t="s">
        <v>547</v>
      </c>
      <c r="E100" s="467" t="s"/>
    </row>
    <row r="101" spans="1:5">
      <c r="A101" s="473">
        <v>100</v>
      </c>
      <c r="B101" s="474" t="s">
        <v>548</v>
      </c>
      <c r="C101" s="475" t="s">
        <v>549</v>
      </c>
      <c r="D101" s="466" t="s">
        <v>550</v>
      </c>
      <c r="E101" s="467" t="s"/>
    </row>
    <row r="102" spans="1:5">
      <c r="A102" s="473">
        <v>101</v>
      </c>
      <c r="B102" s="474" t="s">
        <v>551</v>
      </c>
      <c r="C102" s="475" t="s">
        <v>552</v>
      </c>
      <c r="D102" s="466" t="s">
        <v>395</v>
      </c>
      <c r="E102" s="467" t="s"/>
    </row>
    <row r="103" spans="1:5">
      <c r="A103" s="473">
        <v>102</v>
      </c>
      <c r="B103" s="474" t="s">
        <v>553</v>
      </c>
      <c r="C103" s="477" t="s">
        <v>447</v>
      </c>
      <c r="D103" s="466" t="s">
        <v>554</v>
      </c>
      <c r="E103" s="467" t="s"/>
    </row>
    <row r="104" spans="1:5">
      <c r="A104" s="473">
        <v>103</v>
      </c>
      <c r="B104" s="474" t="s">
        <v>555</v>
      </c>
      <c r="C104" s="477" t="s">
        <v>447</v>
      </c>
      <c r="D104" s="466" t="s">
        <v>395</v>
      </c>
      <c r="E104" s="467" t="s"/>
    </row>
    <row r="105" spans="1:5">
      <c r="A105" s="473">
        <v>104</v>
      </c>
      <c r="B105" s="474" t="s">
        <v>556</v>
      </c>
      <c r="C105" s="477" t="s">
        <v>449</v>
      </c>
      <c r="D105" s="466" t="s">
        <v>134</v>
      </c>
      <c r="E105" s="467" t="s"/>
    </row>
    <row r="106" spans="1:5">
      <c r="A106" s="473">
        <v>105</v>
      </c>
      <c r="B106" s="474" t="s">
        <v>557</v>
      </c>
      <c r="C106" s="477" t="s">
        <v>449</v>
      </c>
      <c r="D106" s="466" t="s">
        <v>112</v>
      </c>
      <c r="E106" s="467" t="s"/>
    </row>
    <row r="107" spans="1:5">
      <c r="A107" s="473">
        <v>106</v>
      </c>
      <c r="B107" s="474" t="s">
        <v>558</v>
      </c>
      <c r="C107" s="477" t="s">
        <v>447</v>
      </c>
      <c r="D107" s="466" t="s">
        <v>134</v>
      </c>
      <c r="E107" s="467" t="s"/>
    </row>
    <row r="108" spans="1:5">
      <c r="A108" s="473">
        <v>107</v>
      </c>
      <c r="B108" s="474" t="s">
        <v>559</v>
      </c>
      <c r="C108" s="477" t="s">
        <v>447</v>
      </c>
      <c r="D108" s="466" t="s">
        <v>112</v>
      </c>
      <c r="E108" s="467" t="s"/>
    </row>
    <row r="109" spans="1:5">
      <c r="A109" s="473">
        <v>108</v>
      </c>
      <c r="B109" s="474" t="s">
        <v>560</v>
      </c>
      <c r="C109" s="477" t="s">
        <v>561</v>
      </c>
      <c r="D109" s="466" t="s">
        <v>134</v>
      </c>
      <c r="E109" s="467" t="s"/>
    </row>
    <row r="110" spans="1:5">
      <c r="A110" s="473">
        <v>109</v>
      </c>
      <c r="B110" s="474" t="s">
        <v>562</v>
      </c>
      <c r="C110" s="477" t="s">
        <v>563</v>
      </c>
      <c r="D110" s="466" t="s">
        <v>112</v>
      </c>
      <c r="E110" s="467" t="s"/>
    </row>
    <row r="111" spans="1:5">
      <c r="A111" s="473">
        <v>110</v>
      </c>
      <c r="B111" s="474" t="s">
        <v>564</v>
      </c>
      <c r="C111" s="477" t="s">
        <v>447</v>
      </c>
      <c r="D111" s="466" t="s">
        <v>112</v>
      </c>
      <c r="E111" s="467" t="s"/>
    </row>
    <row r="112" spans="1:5">
      <c r="A112" s="473">
        <v>111</v>
      </c>
      <c r="B112" s="474" t="s">
        <v>565</v>
      </c>
      <c r="C112" s="477" t="s">
        <v>475</v>
      </c>
      <c r="D112" s="465" t="s">
        <v>566</v>
      </c>
      <c r="E112" s="478" t="s"/>
    </row>
    <row r="113" spans="2:5">
      <c r="B113" s="479" t="s">
        <v>567</v>
      </c>
      <c r="C113" s="480" t="s"/>
      <c r="D113" s="465" t="s">
        <v>568</v>
      </c>
      <c r="E113" s="478" t="s"/>
    </row>
    <row r="114" spans="2:5">
      <c r="B114" s="479" t="s">
        <v>569</v>
      </c>
      <c r="C114" s="480" t="s"/>
      <c r="D114" s="465" t="s">
        <v>201</v>
      </c>
      <c r="E114" s="478" t="s"/>
    </row>
    <row r="115" spans="2:5">
      <c r="B115" s="479" t="s">
        <v>570</v>
      </c>
      <c r="C115" s="480" t="s"/>
      <c r="D115" s="465" t="s">
        <v>279</v>
      </c>
      <c r="E115" s="478" t="s"/>
    </row>
    <row r="116" spans="2:5">
      <c r="B116" s="479" t="s">
        <v>571</v>
      </c>
      <c r="C116" s="480" t="s"/>
      <c r="D116" s="465" t="s">
        <v>201</v>
      </c>
      <c r="E116" s="478" t="s"/>
    </row>
    <row r="117" spans="2:5">
      <c r="B117" s="479" t="s">
        <v>572</v>
      </c>
      <c r="C117" s="480" t="s"/>
      <c r="D117" s="465" t="s">
        <v>54</v>
      </c>
      <c r="E117" s="478" t="s"/>
    </row>
    <row r="118" spans="2:5">
      <c r="B118" s="479" t="s">
        <v>573</v>
      </c>
      <c r="C118" s="480" t="s"/>
      <c r="D118" s="465" t="s">
        <v>48</v>
      </c>
      <c r="E118" s="478" t="s"/>
    </row>
    <row r="119" spans="2:5">
      <c r="B119" s="479" t="s">
        <v>574</v>
      </c>
      <c r="C119" s="480" t="s"/>
      <c r="D119" s="465" t="s">
        <v>420</v>
      </c>
      <c r="E119" s="478" t="s"/>
    </row>
    <row r="120" spans="2:5">
      <c r="B120" s="479" t="s">
        <v>575</v>
      </c>
      <c r="C120" s="480" t="s"/>
      <c r="D120" s="465" t="s">
        <v>277</v>
      </c>
      <c r="E120" s="478" t="s"/>
    </row>
    <row r="121" spans="2:5">
      <c r="B121" s="479" t="s">
        <v>576</v>
      </c>
      <c r="C121" s="480" t="s"/>
      <c r="D121" s="465" t="s">
        <v>279</v>
      </c>
      <c r="E121" s="478" t="s"/>
    </row>
    <row r="122" spans="2:5">
      <c r="B122" s="479" t="s">
        <v>577</v>
      </c>
      <c r="C122" s="480" t="s"/>
      <c r="D122" s="465" t="s">
        <v>379</v>
      </c>
      <c r="E122" s="478" t="s"/>
    </row>
    <row r="123" spans="2:5">
      <c r="B123" s="479" t="s">
        <v>578</v>
      </c>
      <c r="C123" s="480" t="s"/>
      <c r="D123" s="465" t="s">
        <v>201</v>
      </c>
      <c r="E123" s="478" t="s"/>
    </row>
    <row r="124" spans="2:5">
      <c r="B124" s="479" t="s">
        <v>579</v>
      </c>
      <c r="C124" s="480" t="s"/>
      <c r="D124" s="465" t="s">
        <v>279</v>
      </c>
      <c r="E124" s="478" t="s"/>
    </row>
    <row r="125" spans="2:5">
      <c r="B125" s="479" t="s">
        <v>580</v>
      </c>
      <c r="C125" s="480" t="s"/>
      <c r="D125" s="465" t="s">
        <v>428</v>
      </c>
      <c r="E125" s="478" t="s"/>
    </row>
    <row r="126" spans="2:5">
      <c r="B126" s="479" t="s">
        <v>581</v>
      </c>
      <c r="C126" s="480" t="s"/>
      <c r="D126" s="465" t="s">
        <v>277</v>
      </c>
      <c r="E126" s="478" t="s"/>
    </row>
    <row r="127" spans="2:5">
      <c r="B127" s="479" t="s">
        <v>582</v>
      </c>
      <c r="C127" s="480" t="s"/>
      <c r="D127" s="465" t="s">
        <v>134</v>
      </c>
      <c r="E127" s="478" t="s"/>
    </row>
    <row r="128" spans="2:5">
      <c r="B128" s="479" t="s">
        <v>583</v>
      </c>
      <c r="C128" s="480" t="s"/>
      <c r="D128" s="465" t="s">
        <v>112</v>
      </c>
      <c r="E128" s="478" t="s"/>
    </row>
    <row r="129" spans="2:5">
      <c r="B129" s="479" t="s">
        <v>584</v>
      </c>
      <c r="C129" s="480" t="s"/>
      <c r="D129" s="465" t="s">
        <v>395</v>
      </c>
      <c r="E129" s="478" t="s"/>
    </row>
    <row r="130" spans="2:5">
      <c r="B130" s="479" t="s">
        <v>585</v>
      </c>
      <c r="C130" s="480" t="s"/>
      <c r="D130" s="465" t="s">
        <v>395</v>
      </c>
      <c r="E130" s="478" t="s"/>
    </row>
    <row r="131" spans="2:5">
      <c r="B131" s="479" t="s">
        <v>586</v>
      </c>
      <c r="C131" s="480" t="s"/>
      <c r="D131" s="465" t="s">
        <v>112</v>
      </c>
      <c r="E131" s="478" t="s"/>
    </row>
    <row r="132" spans="2:5">
      <c r="B132" s="479" t="s">
        <v>587</v>
      </c>
      <c r="C132" s="480" t="s"/>
      <c r="D132" s="465" t="s">
        <v>201</v>
      </c>
      <c r="E132" s="478" t="s"/>
    </row>
    <row r="133" spans="2:5">
      <c r="B133" s="479" t="s">
        <v>588</v>
      </c>
      <c r="C133" s="480" t="s"/>
      <c r="D133" s="465" t="s">
        <v>54</v>
      </c>
      <c r="E133" s="478" t="s"/>
    </row>
    <row r="134" spans="2:5">
      <c r="B134" s="479" t="s">
        <v>589</v>
      </c>
      <c r="C134" s="480" t="s"/>
      <c r="D134" s="465" t="s">
        <v>112</v>
      </c>
      <c r="E134" s="478" t="s"/>
    </row>
    <row r="135" spans="2:5">
      <c r="B135" s="479" t="s">
        <v>590</v>
      </c>
      <c r="C135" s="480" t="s"/>
      <c r="D135" s="465" t="s">
        <v>201</v>
      </c>
      <c r="E135" s="478" t="s"/>
    </row>
    <row r="136" spans="2:5">
      <c r="B136" s="479" t="s">
        <v>591</v>
      </c>
      <c r="C136" s="480" t="s"/>
      <c r="D136" s="465" t="s">
        <v>134</v>
      </c>
      <c r="E136" s="478" t="s"/>
    </row>
    <row r="137" spans="2:5">
      <c r="B137" s="479" t="s">
        <v>592</v>
      </c>
      <c r="C137" s="480" t="s"/>
      <c r="D137" s="465" t="s">
        <v>277</v>
      </c>
      <c r="E137" s="478" t="s"/>
    </row>
    <row r="138" spans="2:5">
      <c r="B138" s="479" t="s">
        <v>593</v>
      </c>
      <c r="C138" s="480" t="s"/>
      <c r="D138" s="465" t="s">
        <v>395</v>
      </c>
      <c r="E138" s="478" t="s"/>
    </row>
    <row r="139" spans="2:5">
      <c r="B139" s="479" t="s">
        <v>594</v>
      </c>
      <c r="C139" s="480" t="s"/>
      <c r="D139" s="465" t="s">
        <v>112</v>
      </c>
      <c r="E139" s="478" t="s"/>
    </row>
    <row r="140" spans="2:5">
      <c r="B140" s="479" t="s">
        <v>595</v>
      </c>
      <c r="C140" s="480" t="s"/>
      <c r="D140" s="465" t="s">
        <v>395</v>
      </c>
      <c r="E140" s="478" t="s"/>
    </row>
    <row r="141" spans="2:5">
      <c r="B141" s="479" t="s">
        <v>596</v>
      </c>
      <c r="C141" s="480" t="s"/>
      <c r="D141" s="465" t="s">
        <v>54</v>
      </c>
      <c r="E141" s="478" t="s"/>
    </row>
    <row r="142" spans="2:5">
      <c r="B142" s="479" t="s">
        <v>597</v>
      </c>
      <c r="C142" s="480" t="s"/>
      <c r="D142" s="465" t="s">
        <v>201</v>
      </c>
      <c r="E142" s="478" t="s"/>
    </row>
    <row r="143" spans="2:5">
      <c r="B143" s="479" t="s">
        <v>598</v>
      </c>
      <c r="C143" s="480" t="s"/>
      <c r="D143" s="465" t="s">
        <v>279</v>
      </c>
      <c r="E143" s="467" t="s">
        <v>476</v>
      </c>
    </row>
    <row r="144" spans="2:5">
      <c r="B144" s="479" t="s">
        <v>599</v>
      </c>
      <c r="C144" s="480" t="s"/>
      <c r="D144" s="465" t="s">
        <v>277</v>
      </c>
      <c r="E144" s="478" t="s"/>
    </row>
    <row r="145" spans="2:5">
      <c r="B145" s="479" t="s">
        <v>600</v>
      </c>
      <c r="C145" s="480" t="s"/>
      <c r="D145" s="465" t="s">
        <v>395</v>
      </c>
      <c r="E145" s="478" t="s"/>
    </row>
    <row r="146" spans="2:5">
      <c r="B146" s="479" t="s">
        <v>601</v>
      </c>
      <c r="C146" s="480" t="s"/>
      <c r="D146" s="465" t="s">
        <v>395</v>
      </c>
      <c r="E146" s="478" t="s"/>
    </row>
    <row r="147" spans="2:5">
      <c r="B147" s="479" t="s">
        <v>602</v>
      </c>
      <c r="C147" s="481" t="s"/>
      <c r="D147" s="465" t="s">
        <v>54</v>
      </c>
      <c r="E147" s="478" t="s"/>
    </row>
    <row r="148" spans="2:5">
      <c r="B148" s="479" t="s">
        <v>603</v>
      </c>
      <c r="C148" s="480" t="s"/>
      <c r="D148" s="465" t="s">
        <v>604</v>
      </c>
      <c r="E148" s="478" t="s"/>
    </row>
    <row r="149" spans="2:5">
      <c r="B149" s="479" t="s">
        <v>605</v>
      </c>
      <c r="C149" s="480" t="s"/>
      <c r="D149" s="465" t="s">
        <v>54</v>
      </c>
      <c r="E149" s="478" t="s"/>
    </row>
    <row r="150" spans="2:5">
      <c r="B150" s="479" t="s">
        <v>606</v>
      </c>
      <c r="C150" s="480" t="s"/>
      <c r="D150" s="465" t="s">
        <v>277</v>
      </c>
      <c r="E150" s="478" t="s"/>
    </row>
    <row r="151" spans="2:5">
      <c r="B151" s="479" t="s">
        <v>607</v>
      </c>
      <c r="C151" s="480" t="s"/>
      <c r="D151" s="465" t="s">
        <v>608</v>
      </c>
      <c r="E151" s="478" t="s"/>
    </row>
    <row r="152" spans="2:5">
      <c r="B152" s="479" t="s">
        <v>609</v>
      </c>
      <c r="C152" s="480" t="s"/>
      <c r="D152" s="465" t="s">
        <v>277</v>
      </c>
      <c r="E152" s="478" t="s"/>
    </row>
    <row r="153" spans="2:5">
      <c r="B153" s="479" t="s">
        <v>610</v>
      </c>
      <c r="C153" s="480" t="s"/>
      <c r="D153" s="465" t="s">
        <v>279</v>
      </c>
      <c r="E153" s="478" t="s"/>
    </row>
    <row r="154" spans="2:5">
      <c r="B154" s="479" t="s">
        <v>611</v>
      </c>
      <c r="C154" s="480" t="s"/>
      <c r="D154" s="465" t="s">
        <v>54</v>
      </c>
      <c r="E154" s="478" t="s"/>
    </row>
    <row r="155" spans="2:5">
      <c r="B155" s="479" t="s">
        <v>612</v>
      </c>
      <c r="C155" s="480" t="s"/>
      <c r="D155" s="465" t="s">
        <v>54</v>
      </c>
      <c r="E155" s="478" t="s"/>
    </row>
    <row r="156" spans="2:5">
      <c r="B156" s="479" t="s">
        <v>613</v>
      </c>
      <c r="C156" s="480" t="s"/>
      <c r="D156" s="465" t="s">
        <v>134</v>
      </c>
      <c r="E156" s="478" t="s"/>
    </row>
    <row r="157" spans="2:5">
      <c r="B157" s="479" t="s">
        <v>614</v>
      </c>
      <c r="C157" s="480" t="s"/>
      <c r="D157" s="465" t="s">
        <v>201</v>
      </c>
      <c r="E157" s="478" t="s"/>
    </row>
    <row r="158" spans="2:5">
      <c r="B158" s="479" t="s">
        <v>615</v>
      </c>
      <c r="C158" s="480" t="s"/>
      <c r="D158" s="465" t="s">
        <v>616</v>
      </c>
      <c r="E158" s="478" t="s"/>
    </row>
    <row r="159" spans="2:5">
      <c r="B159" s="479" t="s">
        <v>617</v>
      </c>
      <c r="C159" s="480" t="s"/>
      <c r="D159" s="465" t="s">
        <v>277</v>
      </c>
      <c r="E159" s="478" t="s"/>
    </row>
    <row r="160" spans="2:5">
      <c r="B160" s="479" t="s">
        <v>618</v>
      </c>
      <c r="C160" s="480" t="s"/>
      <c r="D160" s="465" t="s">
        <v>201</v>
      </c>
      <c r="E160" s="478" t="s"/>
    </row>
    <row r="161" spans="2:5">
      <c r="B161" s="479" t="s">
        <v>619</v>
      </c>
      <c r="C161" s="480" t="s"/>
      <c r="D161" s="465" t="s">
        <v>134</v>
      </c>
      <c r="E161" s="478" t="s"/>
    </row>
    <row r="162" spans="2:5">
      <c r="B162" s="479" t="s">
        <v>620</v>
      </c>
      <c r="C162" s="480" t="s"/>
      <c r="D162" s="465" t="s">
        <v>112</v>
      </c>
      <c r="E162" s="478" t="s"/>
    </row>
    <row r="163" spans="2:5">
      <c r="B163" s="479" t="s">
        <v>621</v>
      </c>
      <c r="C163" s="480" t="s"/>
      <c r="D163" s="465" t="s">
        <v>134</v>
      </c>
      <c r="E163" s="478" t="s"/>
    </row>
    <row r="164" spans="2:5">
      <c r="B164" s="479" t="s">
        <v>622</v>
      </c>
      <c r="C164" s="480" t="s"/>
      <c r="D164" s="465" t="s">
        <v>112</v>
      </c>
      <c r="E164" s="478" t="s"/>
    </row>
    <row r="165" spans="2:5">
      <c r="B165" s="479" t="s">
        <v>623</v>
      </c>
      <c r="C165" s="480" t="s"/>
      <c r="D165" s="465" t="s">
        <v>134</v>
      </c>
      <c r="E165" s="478" t="s"/>
    </row>
    <row r="166" spans="2:5">
      <c r="B166" s="479" t="s">
        <v>624</v>
      </c>
      <c r="C166" s="480" t="s"/>
      <c r="D166" s="465" t="s">
        <v>54</v>
      </c>
      <c r="E166" s="478" t="s"/>
    </row>
    <row r="167" spans="2:5">
      <c r="B167" s="479" t="s">
        <v>625</v>
      </c>
      <c r="C167" s="480" t="s"/>
      <c r="D167" s="465" t="s">
        <v>626</v>
      </c>
      <c r="E167" s="478" t="s"/>
    </row>
    <row r="168" spans="2:5">
      <c r="B168" s="479" t="s">
        <v>627</v>
      </c>
      <c r="C168" s="480" t="s"/>
      <c r="D168" s="465" t="s">
        <v>54</v>
      </c>
      <c r="E168" s="478" t="s"/>
    </row>
    <row r="169" spans="2:5">
      <c r="B169" s="479" t="s">
        <v>628</v>
      </c>
      <c r="C169" s="480" t="s"/>
      <c r="D169" s="465" t="s">
        <v>201</v>
      </c>
      <c r="E169" s="478" t="s"/>
    </row>
    <row r="170" spans="2:5">
      <c r="B170" s="479" t="s">
        <v>629</v>
      </c>
      <c r="C170" s="480" t="s"/>
      <c r="D170" s="465" t="s">
        <v>201</v>
      </c>
      <c r="E170" s="478" t="s"/>
    </row>
    <row r="171" spans="2:5">
      <c r="B171" s="479" t="s">
        <v>630</v>
      </c>
      <c r="C171" s="480" t="s"/>
      <c r="D171" s="465" t="s">
        <v>112</v>
      </c>
      <c r="E171" s="478" t="s"/>
    </row>
    <row r="172" spans="2:5">
      <c r="B172" s="479" t="s">
        <v>631</v>
      </c>
      <c r="C172" s="480" t="s"/>
      <c r="D172" s="465" t="s">
        <v>277</v>
      </c>
      <c r="E172" s="478" t="s"/>
    </row>
    <row r="173" spans="2:5">
      <c r="B173" s="479" t="s">
        <v>632</v>
      </c>
      <c r="C173" s="480" t="s"/>
      <c r="D173" s="465" t="s">
        <v>134</v>
      </c>
      <c r="E173" s="478" t="s"/>
    </row>
    <row r="174" spans="2:5">
      <c r="B174" s="479" t="s">
        <v>633</v>
      </c>
      <c r="C174" s="480" t="s"/>
      <c r="D174" s="465" t="s">
        <v>566</v>
      </c>
      <c r="E174" s="478" t="s"/>
    </row>
    <row r="175" spans="2:5">
      <c r="B175" s="479" t="s">
        <v>634</v>
      </c>
      <c r="C175" s="480" t="s"/>
      <c r="D175" s="465" t="s">
        <v>395</v>
      </c>
      <c r="E175" s="478" t="s"/>
    </row>
    <row r="176" spans="2:5">
      <c r="B176" s="479" t="s">
        <v>635</v>
      </c>
      <c r="C176" s="480" t="s"/>
      <c r="D176" s="465" t="s">
        <v>54</v>
      </c>
      <c r="E176" s="478" t="s"/>
    </row>
    <row r="177" spans="2:5">
      <c r="B177" s="479" t="s">
        <v>636</v>
      </c>
      <c r="C177" s="480" t="s"/>
      <c r="D177" s="465" t="s">
        <v>277</v>
      </c>
      <c r="E177" s="478" t="s"/>
    </row>
    <row r="178" spans="2:5">
      <c r="B178" s="479" t="s">
        <v>637</v>
      </c>
      <c r="C178" s="480" t="s"/>
      <c r="D178" s="465" t="s">
        <v>48</v>
      </c>
      <c r="E178" s="478" t="s"/>
    </row>
    <row r="179" spans="2:5">
      <c r="B179" s="479" t="s">
        <v>638</v>
      </c>
      <c r="C179" s="480" t="s"/>
      <c r="D179" s="465" t="s">
        <v>112</v>
      </c>
      <c r="E179" s="478" t="s"/>
    </row>
    <row r="180" spans="2:5">
      <c r="B180" s="479" t="s">
        <v>639</v>
      </c>
      <c r="C180" s="480" t="s"/>
      <c r="D180" s="465" t="s">
        <v>54</v>
      </c>
      <c r="E180" s="478" t="s"/>
    </row>
    <row r="181" spans="2:5">
      <c r="B181" s="479" t="s">
        <v>640</v>
      </c>
      <c r="C181" s="480" t="s"/>
      <c r="D181" s="465" t="s">
        <v>201</v>
      </c>
      <c r="E181" s="478" t="s"/>
    </row>
    <row r="182" spans="2:5">
      <c r="B182" s="479" t="s">
        <v>641</v>
      </c>
      <c r="C182" s="480" t="s"/>
      <c r="D182" s="465" t="s">
        <v>134</v>
      </c>
      <c r="E182" s="478" t="s"/>
    </row>
    <row r="183" spans="2:5">
      <c r="B183" s="479" t="s">
        <v>642</v>
      </c>
      <c r="C183" s="480" t="s"/>
      <c r="D183" s="465" t="s">
        <v>112</v>
      </c>
      <c r="E183" s="478" t="s"/>
    </row>
    <row r="184" spans="2:5">
      <c r="B184" s="479" t="s">
        <v>643</v>
      </c>
      <c r="C184" s="480" t="s"/>
      <c r="D184" s="465" t="s">
        <v>201</v>
      </c>
      <c r="E184" s="478" t="s"/>
    </row>
    <row r="185" spans="2:5">
      <c r="B185" s="479" t="s">
        <v>644</v>
      </c>
      <c r="C185" s="480" t="s"/>
      <c r="D185" s="465" t="s">
        <v>395</v>
      </c>
      <c r="E185" s="478" t="s"/>
    </row>
    <row r="186" spans="2:5">
      <c r="B186" s="479" t="s">
        <v>645</v>
      </c>
      <c r="C186" s="480" t="s"/>
      <c r="D186" s="465" t="s">
        <v>134</v>
      </c>
      <c r="E186" s="478" t="s"/>
    </row>
    <row r="187" spans="2:5">
      <c r="B187" s="479" t="s">
        <v>646</v>
      </c>
      <c r="C187" s="480" t="s"/>
      <c r="D187" s="465" t="s">
        <v>54</v>
      </c>
      <c r="E187" s="478" t="s"/>
    </row>
    <row r="188" spans="2:5">
      <c r="B188" s="479" t="s">
        <v>647</v>
      </c>
      <c r="C188" s="480" t="s"/>
      <c r="D188" s="465" t="s">
        <v>112</v>
      </c>
      <c r="E188" s="478" t="s"/>
    </row>
    <row r="189" spans="2:5">
      <c r="B189" s="479" t="s">
        <v>648</v>
      </c>
      <c r="C189" s="480" t="s"/>
      <c r="D189" s="465" t="s">
        <v>395</v>
      </c>
      <c r="E189" s="478" t="s"/>
    </row>
    <row r="190" spans="2:5">
      <c r="B190" s="479" t="s">
        <v>649</v>
      </c>
      <c r="C190" s="480" t="s"/>
      <c r="D190" s="465" t="s">
        <v>277</v>
      </c>
      <c r="E190" s="478" t="s"/>
    </row>
    <row r="191" spans="2:5">
      <c r="B191" s="479" t="s">
        <v>650</v>
      </c>
      <c r="C191" s="480" t="s"/>
      <c r="D191" s="465" t="s">
        <v>134</v>
      </c>
      <c r="E191" s="478" t="s"/>
    </row>
    <row r="192" spans="2:5">
      <c r="B192" s="479" t="s">
        <v>651</v>
      </c>
      <c r="C192" s="480" t="s"/>
      <c r="D192" s="465" t="s">
        <v>112</v>
      </c>
      <c r="E192" s="478" t="s"/>
    </row>
    <row r="193" spans="2:5">
      <c r="B193" s="479" t="s">
        <v>652</v>
      </c>
      <c r="C193" s="480" t="s"/>
      <c r="D193" s="465" t="s">
        <v>134</v>
      </c>
      <c r="E193" s="478" t="s"/>
    </row>
    <row r="194" spans="2:5">
      <c r="B194" s="479" t="s">
        <v>653</v>
      </c>
      <c r="C194" s="480" t="s"/>
      <c r="D194" s="465" t="s">
        <v>277</v>
      </c>
      <c r="E194" s="478" t="s"/>
    </row>
    <row r="195" spans="2:5">
      <c r="B195" s="479" t="s">
        <v>654</v>
      </c>
      <c r="C195" s="480" t="s"/>
      <c r="D195" s="465" t="s">
        <v>54</v>
      </c>
      <c r="E195" s="478" t="s"/>
    </row>
    <row r="196" spans="2:5">
      <c r="B196" s="479" t="s">
        <v>655</v>
      </c>
      <c r="C196" s="480" t="s"/>
      <c r="D196" s="465" t="s">
        <v>277</v>
      </c>
      <c r="E196" s="478" t="s"/>
    </row>
    <row r="197" spans="2:5">
      <c r="B197" s="479" t="s">
        <v>656</v>
      </c>
      <c r="C197" s="480" t="s"/>
      <c r="D197" s="465" t="s">
        <v>201</v>
      </c>
      <c r="E197" s="478" t="s"/>
    </row>
    <row r="198" spans="2:5">
      <c r="B198" s="479" t="s">
        <v>657</v>
      </c>
      <c r="C198" s="480" t="s"/>
      <c r="D198" s="465" t="s">
        <v>201</v>
      </c>
      <c r="E198" s="478" t="s"/>
    </row>
    <row r="199" spans="2:5">
      <c r="B199" s="479" t="s">
        <v>658</v>
      </c>
      <c r="C199" s="480" t="s"/>
      <c r="D199" s="465" t="s">
        <v>54</v>
      </c>
      <c r="E199" s="478" t="s"/>
    </row>
    <row r="200" spans="2:5">
      <c r="B200" s="479" t="s">
        <v>659</v>
      </c>
      <c r="C200" s="480" t="s"/>
      <c r="D200" s="465" t="s">
        <v>54</v>
      </c>
      <c r="E200" s="478" t="s"/>
    </row>
    <row r="201" spans="2:5">
      <c r="B201" s="479" t="s">
        <v>660</v>
      </c>
      <c r="C201" s="480" t="s"/>
      <c r="D201" s="465" t="s">
        <v>277</v>
      </c>
      <c r="E201" s="478" t="s"/>
    </row>
    <row r="202" spans="2:5">
      <c r="B202" s="479" t="s">
        <v>661</v>
      </c>
      <c r="C202" s="480" t="s"/>
      <c r="D202" s="465" t="s">
        <v>54</v>
      </c>
      <c r="E202" s="478" t="s"/>
    </row>
    <row r="203" spans="2:5">
      <c r="B203" s="479" t="s">
        <v>662</v>
      </c>
      <c r="C203" s="480" t="s"/>
      <c r="D203" s="465" t="s">
        <v>201</v>
      </c>
      <c r="E203" s="478" t="s"/>
    </row>
    <row r="204" spans="2:5">
      <c r="B204" s="479" t="s">
        <v>663</v>
      </c>
      <c r="C204" s="480" t="s"/>
      <c r="D204" s="465" t="s">
        <v>277</v>
      </c>
      <c r="E204" s="478" t="s"/>
    </row>
    <row r="205" spans="2:5">
      <c r="B205" s="479" t="s">
        <v>664</v>
      </c>
      <c r="C205" s="480" t="s"/>
      <c r="D205" s="465" t="s">
        <v>277</v>
      </c>
      <c r="E205" s="478" t="s"/>
    </row>
    <row r="206" spans="2:5">
      <c r="B206" s="479" t="s">
        <v>665</v>
      </c>
      <c r="C206" s="480" t="s"/>
      <c r="D206" s="465" t="s">
        <v>279</v>
      </c>
      <c r="E206" s="478" t="s"/>
    </row>
    <row r="207" spans="2:5">
      <c r="B207" s="479" t="s">
        <v>666</v>
      </c>
      <c r="C207" s="480" t="s"/>
      <c r="D207" s="465" t="s">
        <v>54</v>
      </c>
      <c r="E207" s="478" t="s"/>
    </row>
    <row r="208" spans="2:5">
      <c r="B208" s="479" t="s">
        <v>667</v>
      </c>
      <c r="C208" s="480" t="s"/>
      <c r="D208" s="465" t="s">
        <v>112</v>
      </c>
      <c r="E208" s="478" t="s"/>
    </row>
    <row r="209" spans="2:5">
      <c r="B209" s="479" t="s">
        <v>668</v>
      </c>
      <c r="C209" s="480" t="s"/>
      <c r="D209" s="465" t="s">
        <v>134</v>
      </c>
      <c r="E209" s="478" t="s"/>
    </row>
    <row r="210" spans="2:5">
      <c r="B210" s="479" t="s">
        <v>669</v>
      </c>
      <c r="C210" s="480" t="s"/>
      <c r="D210" s="465" t="s">
        <v>112</v>
      </c>
      <c r="E210" s="478" t="s"/>
    </row>
    <row r="211" spans="2:5">
      <c r="B211" s="479" t="s">
        <v>670</v>
      </c>
      <c r="C211" s="480" t="s"/>
      <c r="D211" s="465" t="s">
        <v>395</v>
      </c>
      <c r="E211" s="478" t="s"/>
    </row>
    <row r="212" spans="2:5">
      <c r="B212" s="479" t="s">
        <v>671</v>
      </c>
      <c r="C212" s="480" t="s"/>
      <c r="D212" s="465" t="s">
        <v>395</v>
      </c>
      <c r="E212" s="478" t="s"/>
    </row>
    <row r="213" spans="2:5">
      <c r="B213" s="479" t="s">
        <v>672</v>
      </c>
      <c r="C213" s="480" t="s"/>
      <c r="D213" s="465" t="s">
        <v>201</v>
      </c>
      <c r="E213" s="478" t="s"/>
    </row>
    <row r="214" spans="2:5">
      <c r="B214" s="479" t="s">
        <v>673</v>
      </c>
      <c r="C214" s="480" t="s"/>
      <c r="D214" s="465" t="s">
        <v>395</v>
      </c>
      <c r="E214" s="478" t="s"/>
    </row>
    <row r="215" spans="2:5">
      <c r="B215" s="479" t="s">
        <v>674</v>
      </c>
      <c r="C215" s="480" t="s"/>
      <c r="D215" s="465" t="s">
        <v>54</v>
      </c>
      <c r="E215" s="478" t="s"/>
    </row>
    <row r="216" spans="2:5">
      <c r="B216" s="479" t="s">
        <v>675</v>
      </c>
      <c r="C216" s="480" t="s"/>
      <c r="D216" s="465" t="s">
        <v>277</v>
      </c>
      <c r="E216" s="478" t="s"/>
    </row>
    <row r="217" spans="2:5">
      <c r="B217" s="479" t="s">
        <v>676</v>
      </c>
      <c r="C217" s="480" t="s"/>
      <c r="D217" s="465" t="s">
        <v>54</v>
      </c>
      <c r="E217" s="478" t="s"/>
    </row>
    <row r="218" spans="2:5">
      <c r="B218" s="479" t="s">
        <v>677</v>
      </c>
      <c r="C218" s="480" t="s"/>
      <c r="D218" s="465" t="s">
        <v>54</v>
      </c>
      <c r="E218" s="478" t="s"/>
    </row>
    <row r="219" spans="2:5">
      <c r="B219" s="479" t="s">
        <v>678</v>
      </c>
      <c r="C219" s="480" t="s"/>
      <c r="D219" s="465" t="s">
        <v>134</v>
      </c>
      <c r="E219" s="478" t="s"/>
    </row>
    <row r="220" spans="2:5">
      <c r="B220" s="479" t="s">
        <v>679</v>
      </c>
      <c r="C220" s="480" t="s"/>
      <c r="D220" s="465" t="s">
        <v>112</v>
      </c>
      <c r="E220" s="478" t="s"/>
    </row>
    <row r="221" spans="2:5">
      <c r="B221" s="479" t="s">
        <v>680</v>
      </c>
      <c r="C221" s="480" t="s"/>
      <c r="D221" s="465" t="s">
        <v>395</v>
      </c>
      <c r="E221" s="478" t="s"/>
    </row>
    <row r="222" spans="2:5">
      <c r="B222" s="479" t="s">
        <v>681</v>
      </c>
      <c r="C222" s="480" t="s"/>
      <c r="D222" s="465" t="s">
        <v>134</v>
      </c>
      <c r="E222" s="478" t="s"/>
    </row>
    <row r="223" spans="2:5">
      <c r="B223" s="479" t="s">
        <v>682</v>
      </c>
      <c r="C223" s="480" t="s"/>
      <c r="D223" s="465" t="s">
        <v>54</v>
      </c>
      <c r="E223" s="478" t="s"/>
    </row>
    <row r="224" spans="2:5">
      <c r="B224" s="479" t="s">
        <v>683</v>
      </c>
      <c r="C224" s="480" t="s"/>
      <c r="D224" s="465" t="s">
        <v>54</v>
      </c>
      <c r="E224" s="478" t="s"/>
    </row>
    <row r="225" spans="2:5">
      <c r="B225" s="479" t="s">
        <v>684</v>
      </c>
      <c r="C225" s="480" t="s"/>
      <c r="D225" s="465" t="s">
        <v>112</v>
      </c>
      <c r="E225" s="478" t="s"/>
    </row>
    <row r="226" spans="2:5">
      <c r="B226" s="479" t="s">
        <v>685</v>
      </c>
      <c r="C226" s="480" t="s"/>
      <c r="D226" s="465" t="s">
        <v>134</v>
      </c>
      <c r="E226" s="478" t="s"/>
    </row>
    <row r="227" spans="2:5">
      <c r="B227" s="479" t="s">
        <v>686</v>
      </c>
      <c r="C227" s="480" t="s"/>
      <c r="D227" s="465" t="s">
        <v>112</v>
      </c>
      <c r="E227" s="478" t="s"/>
    </row>
    <row r="228" spans="2:5">
      <c r="B228" s="479" t="s">
        <v>687</v>
      </c>
      <c r="C228" s="480" t="s"/>
      <c r="D228" s="465" t="s">
        <v>134</v>
      </c>
      <c r="E228" s="478" t="s"/>
    </row>
    <row r="229" spans="2:5">
      <c r="B229" s="479" t="s">
        <v>688</v>
      </c>
      <c r="C229" s="480" t="s"/>
      <c r="D229" s="465" t="s">
        <v>112</v>
      </c>
      <c r="E229" s="478" t="s"/>
    </row>
    <row r="230" spans="2:5">
      <c r="B230" s="479" t="s">
        <v>689</v>
      </c>
      <c r="C230" s="480" t="s"/>
      <c r="D230" s="465" t="s">
        <v>134</v>
      </c>
      <c r="E230" s="478" t="s"/>
    </row>
    <row r="231" spans="2:5">
      <c r="B231" s="479" t="s">
        <v>690</v>
      </c>
      <c r="C231" s="480" t="s"/>
      <c r="D231" s="465" t="s">
        <v>201</v>
      </c>
      <c r="E231" s="478" t="s"/>
    </row>
    <row r="232" spans="2:5">
      <c r="B232" s="479" t="s">
        <v>691</v>
      </c>
      <c r="C232" s="480" t="s"/>
      <c r="D232" s="465" t="s">
        <v>279</v>
      </c>
      <c r="E232" s="478" t="s"/>
    </row>
    <row r="233" spans="2:5">
      <c r="B233" s="479" t="s">
        <v>692</v>
      </c>
      <c r="C233" s="480" t="s"/>
      <c r="D233" s="465" t="s">
        <v>54</v>
      </c>
      <c r="E233" s="478" t="s"/>
    </row>
    <row r="234" spans="2:5">
      <c r="B234" s="479" t="s">
        <v>693</v>
      </c>
      <c r="C234" s="480" t="s"/>
      <c r="D234" s="465" t="s">
        <v>112</v>
      </c>
      <c r="E234" s="478" t="s"/>
    </row>
    <row r="235" spans="2:5">
      <c r="B235" s="479" t="s">
        <v>694</v>
      </c>
      <c r="C235" s="480" t="s"/>
      <c r="D235" s="465" t="s">
        <v>134</v>
      </c>
      <c r="E235" s="478" t="s"/>
    </row>
    <row r="236" spans="2:5">
      <c r="B236" s="479" t="s">
        <v>695</v>
      </c>
      <c r="C236" s="480" t="s"/>
      <c r="D236" s="465" t="s">
        <v>112</v>
      </c>
      <c r="E236" s="478" t="s"/>
    </row>
    <row r="237" spans="2:5">
      <c r="B237" s="479" t="s">
        <v>696</v>
      </c>
      <c r="C237" s="480" t="s"/>
      <c r="D237" s="465" t="s">
        <v>134</v>
      </c>
      <c r="E237" s="478" t="s"/>
    </row>
    <row r="238" spans="2:5">
      <c r="B238" s="479" t="s">
        <v>697</v>
      </c>
      <c r="C238" s="480" t="s"/>
      <c r="D238" s="465" t="s">
        <v>201</v>
      </c>
      <c r="E238" s="478" t="s"/>
    </row>
    <row r="239" spans="2:5">
      <c r="B239" s="479" t="s">
        <v>698</v>
      </c>
      <c r="C239" s="480" t="s"/>
      <c r="D239" s="465" t="s">
        <v>112</v>
      </c>
      <c r="E239" s="478" t="s"/>
    </row>
    <row r="240" spans="2:5">
      <c r="B240" s="479" t="s">
        <v>699</v>
      </c>
      <c r="C240" s="480" t="s"/>
      <c r="D240" s="465" t="s">
        <v>395</v>
      </c>
      <c r="E240" s="478" t="s"/>
    </row>
    <row r="241" spans="2:5">
      <c r="B241" s="479" t="s">
        <v>700</v>
      </c>
      <c r="C241" s="480" t="s"/>
      <c r="D241" s="465" t="s">
        <v>134</v>
      </c>
      <c r="E241" s="478" t="s"/>
    </row>
    <row r="242" spans="2:5">
      <c r="B242" s="479" t="s">
        <v>701</v>
      </c>
      <c r="C242" s="480" t="s"/>
      <c r="D242" s="465" t="s">
        <v>54</v>
      </c>
      <c r="E242" s="478" t="s"/>
    </row>
    <row r="243" spans="2:5">
      <c r="B243" s="479" t="s">
        <v>702</v>
      </c>
      <c r="C243" s="480" t="s"/>
      <c r="D243" s="465" t="s">
        <v>112</v>
      </c>
      <c r="E243" s="478" t="s"/>
    </row>
    <row r="244" spans="2:5">
      <c r="B244" s="479" t="s">
        <v>703</v>
      </c>
      <c r="C244" s="480" t="s"/>
      <c r="D244" s="465" t="s">
        <v>134</v>
      </c>
      <c r="E244" s="478" t="s"/>
    </row>
    <row r="245" spans="2:5">
      <c r="B245" s="479" t="s">
        <v>704</v>
      </c>
      <c r="C245" s="480" t="s"/>
      <c r="D245" s="465" t="s">
        <v>112</v>
      </c>
      <c r="E245" s="478" t="s"/>
    </row>
    <row r="246" spans="2:5">
      <c r="B246" s="479" t="s">
        <v>705</v>
      </c>
      <c r="C246" s="480" t="s"/>
      <c r="D246" s="465" t="s">
        <v>134</v>
      </c>
      <c r="E246" s="478" t="s"/>
    </row>
    <row r="247" spans="2:5">
      <c r="B247" s="479" t="s">
        <v>706</v>
      </c>
      <c r="C247" s="480" t="s"/>
      <c r="D247" s="465" t="s">
        <v>277</v>
      </c>
      <c r="E247" s="478" t="s"/>
    </row>
    <row r="248" spans="2:5">
      <c r="B248" s="479" t="s">
        <v>707</v>
      </c>
      <c r="C248" s="480" t="s"/>
      <c r="D248" s="465" t="s">
        <v>112</v>
      </c>
      <c r="E248" s="478" t="s"/>
    </row>
    <row r="249" spans="2:5">
      <c r="B249" s="479" t="s">
        <v>708</v>
      </c>
      <c r="C249" s="480" t="s"/>
      <c r="D249" s="465" t="s">
        <v>134</v>
      </c>
      <c r="E249" s="478" t="s"/>
    </row>
    <row r="250" spans="2:5">
      <c r="B250" s="479" t="s">
        <v>709</v>
      </c>
      <c r="C250" s="480" t="s"/>
      <c r="D250" s="465" t="s">
        <v>112</v>
      </c>
      <c r="E250" s="478" t="s"/>
    </row>
    <row r="251" spans="2:5">
      <c r="B251" s="479" t="s">
        <v>710</v>
      </c>
      <c r="C251" s="480" t="s"/>
      <c r="D251" s="465" t="s">
        <v>134</v>
      </c>
      <c r="E251" s="478" t="s"/>
    </row>
    <row r="252" spans="2:5">
      <c r="B252" s="479" t="s">
        <v>711</v>
      </c>
      <c r="C252" s="480" t="s"/>
      <c r="D252" s="465" t="s">
        <v>54</v>
      </c>
      <c r="E252" s="478" t="s"/>
    </row>
    <row r="253" spans="2:5">
      <c r="B253" s="479" t="s">
        <v>712</v>
      </c>
      <c r="C253" s="480" t="s"/>
      <c r="D253" s="465" t="s">
        <v>112</v>
      </c>
      <c r="E253" s="478" t="s"/>
    </row>
    <row r="254" spans="2:5">
      <c r="B254" s="479" t="s">
        <v>713</v>
      </c>
      <c r="C254" s="480" t="s"/>
      <c r="D254" s="465" t="s">
        <v>134</v>
      </c>
      <c r="E254" s="478" t="s"/>
    </row>
    <row r="255" spans="2:5">
      <c r="B255" s="479" t="s">
        <v>714</v>
      </c>
      <c r="C255" s="480" t="s"/>
      <c r="D255" s="465" t="s">
        <v>112</v>
      </c>
      <c r="E255" s="478" t="s"/>
    </row>
    <row r="256" spans="2:5">
      <c r="B256" s="479" t="s">
        <v>715</v>
      </c>
      <c r="C256" s="480" t="s"/>
      <c r="D256" s="465" t="s">
        <v>134</v>
      </c>
      <c r="E256" s="478" t="s"/>
    </row>
    <row r="257" spans="2:5">
      <c r="B257" s="479" t="s">
        <v>716</v>
      </c>
      <c r="C257" s="480" t="s"/>
      <c r="D257" s="465" t="s">
        <v>112</v>
      </c>
      <c r="E257" s="478" t="s"/>
    </row>
    <row r="258" spans="2:5">
      <c r="B258" s="479" t="s">
        <v>717</v>
      </c>
      <c r="C258" s="480" t="s"/>
      <c r="D258" s="465" t="s">
        <v>395</v>
      </c>
      <c r="E258" s="478" t="s"/>
    </row>
    <row r="259" spans="2:5">
      <c r="B259" s="479" t="s">
        <v>718</v>
      </c>
      <c r="C259" s="480" t="s"/>
      <c r="D259" s="465" t="s">
        <v>277</v>
      </c>
      <c r="E259" s="478" t="s"/>
    </row>
    <row r="260" spans="2:5">
      <c r="B260" s="479" t="s">
        <v>719</v>
      </c>
      <c r="C260" s="480" t="s"/>
      <c r="D260" s="465" t="s">
        <v>395</v>
      </c>
      <c r="E260" s="478" t="s"/>
    </row>
    <row r="261" spans="2:5">
      <c r="B261" s="479" t="s">
        <v>720</v>
      </c>
      <c r="C261" s="480" t="s"/>
      <c r="D261" s="465" t="s">
        <v>395</v>
      </c>
      <c r="E261" s="478" t="s"/>
    </row>
    <row r="262" spans="2:5">
      <c r="B262" s="479" t="s">
        <v>721</v>
      </c>
      <c r="C262" s="480" t="s"/>
      <c r="D262" s="465" t="s">
        <v>379</v>
      </c>
      <c r="E262" s="478" t="s"/>
    </row>
    <row r="263" spans="2:5">
      <c r="B263" s="479" t="s">
        <v>722</v>
      </c>
      <c r="C263" s="480" t="s"/>
      <c r="D263" s="465" t="s">
        <v>395</v>
      </c>
      <c r="E263" s="478" t="s"/>
    </row>
    <row r="264" spans="2:5">
      <c r="B264" s="479" t="s">
        <v>723</v>
      </c>
      <c r="C264" s="480" t="s"/>
      <c r="D264" s="465" t="s">
        <v>395</v>
      </c>
      <c r="E264" s="478" t="s"/>
    </row>
    <row r="265" spans="2:5">
      <c r="B265" s="479" t="s">
        <v>724</v>
      </c>
      <c r="C265" s="480" t="s"/>
      <c r="D265" s="465" t="s">
        <v>395</v>
      </c>
      <c r="E265" s="478" t="s"/>
    </row>
    <row r="266" spans="2:5">
      <c r="B266" s="479" t="s">
        <v>725</v>
      </c>
      <c r="C266" s="480" t="s"/>
      <c r="D266" s="465" t="s">
        <v>395</v>
      </c>
      <c r="E266" s="478" t="s"/>
    </row>
    <row r="267" spans="2:5">
      <c r="B267" s="479" t="s">
        <v>726</v>
      </c>
      <c r="C267" s="480" t="s"/>
      <c r="D267" s="465" t="s">
        <v>395</v>
      </c>
      <c r="E267" s="478" t="s"/>
    </row>
    <row r="268" spans="2:5">
      <c r="B268" s="479" t="s">
        <v>727</v>
      </c>
      <c r="C268" s="480" t="s"/>
      <c r="D268" s="465" t="s">
        <v>395</v>
      </c>
      <c r="E268" s="478" t="s"/>
    </row>
    <row r="269" spans="2:5">
      <c r="B269" s="479" t="s">
        <v>728</v>
      </c>
      <c r="C269" s="480" t="s"/>
      <c r="D269" s="465" t="s">
        <v>395</v>
      </c>
      <c r="E269" s="478" t="s"/>
    </row>
    <row r="270" spans="2:5">
      <c r="B270" s="479" t="s">
        <v>729</v>
      </c>
      <c r="C270" s="480" t="s"/>
      <c r="D270" s="465" t="s">
        <v>201</v>
      </c>
      <c r="E270" s="478" t="s"/>
    </row>
    <row r="271" spans="2:5">
      <c r="B271" s="479" t="s">
        <v>730</v>
      </c>
      <c r="C271" s="480" t="s"/>
      <c r="D271" s="465" t="s">
        <v>395</v>
      </c>
      <c r="E271" s="478" t="s"/>
    </row>
    <row r="272" spans="2:5">
      <c r="B272" s="479" t="s">
        <v>731</v>
      </c>
      <c r="C272" s="480" t="s"/>
      <c r="D272" s="465" t="s">
        <v>112</v>
      </c>
      <c r="E272" s="478" t="s"/>
    </row>
    <row r="273" spans="2:5">
      <c r="B273" s="479" t="s">
        <v>732</v>
      </c>
      <c r="C273" s="480" t="s"/>
      <c r="D273" s="465" t="s">
        <v>395</v>
      </c>
      <c r="E273" s="478" t="s"/>
    </row>
    <row r="274" spans="2:5">
      <c r="B274" s="479" t="s">
        <v>733</v>
      </c>
      <c r="C274" s="480" t="s"/>
      <c r="D274" s="465" t="s">
        <v>112</v>
      </c>
      <c r="E274" s="478" t="s"/>
    </row>
    <row r="275" spans="2:5">
      <c r="B275" s="479" t="s">
        <v>734</v>
      </c>
      <c r="C275" s="480" t="s"/>
      <c r="D275" s="465" t="s">
        <v>379</v>
      </c>
      <c r="E275" s="478" t="s"/>
    </row>
    <row r="276" spans="2:5">
      <c r="B276" s="479" t="s">
        <v>735</v>
      </c>
      <c r="C276" s="480" t="s"/>
      <c r="D276" s="465" t="s">
        <v>395</v>
      </c>
      <c r="E276" s="478" t="s"/>
    </row>
    <row r="277" spans="2:5">
      <c r="B277" s="479" t="s">
        <v>736</v>
      </c>
      <c r="C277" s="480" t="s"/>
      <c r="D277" s="465" t="s">
        <v>395</v>
      </c>
      <c r="E277" s="478" t="s"/>
    </row>
    <row r="278" spans="2:5">
      <c r="B278" s="479" t="s">
        <v>737</v>
      </c>
      <c r="C278" s="480" t="s"/>
      <c r="D278" s="465" t="s">
        <v>395</v>
      </c>
      <c r="E278" s="478" t="s"/>
    </row>
    <row r="279" spans="2:5">
      <c r="B279" s="479" t="s">
        <v>738</v>
      </c>
      <c r="C279" s="480" t="s"/>
      <c r="D279" s="465" t="s">
        <v>395</v>
      </c>
      <c r="E279" s="478" t="s"/>
    </row>
    <row r="280" spans="2:5">
      <c r="B280" s="479" t="s">
        <v>739</v>
      </c>
      <c r="C280" s="480" t="s"/>
      <c r="D280" s="465" t="s">
        <v>395</v>
      </c>
      <c r="E280" s="478" t="s"/>
    </row>
    <row r="281" spans="2:5">
      <c r="B281" s="479" t="s">
        <v>740</v>
      </c>
      <c r="C281" s="480" t="s"/>
      <c r="D281" s="465" t="s">
        <v>379</v>
      </c>
      <c r="E281" s="478" t="s"/>
    </row>
    <row r="282" spans="2:5">
      <c r="B282" s="479" t="s">
        <v>741</v>
      </c>
      <c r="C282" s="480" t="s"/>
      <c r="D282" s="465" t="s">
        <v>395</v>
      </c>
      <c r="E282" s="478" t="s"/>
    </row>
    <row r="283" spans="2:5">
      <c r="B283" s="479" t="s">
        <v>742</v>
      </c>
      <c r="C283" s="480" t="s"/>
      <c r="D283" s="465" t="s">
        <v>395</v>
      </c>
      <c r="E283" s="478" t="s"/>
    </row>
    <row r="284" spans="2:5">
      <c r="B284" s="479" t="s">
        <v>743</v>
      </c>
      <c r="C284" s="480" t="s"/>
      <c r="D284" s="465" t="s">
        <v>395</v>
      </c>
      <c r="E284" s="478" t="s"/>
    </row>
    <row r="285" spans="2:5">
      <c r="B285" s="479" t="s">
        <v>744</v>
      </c>
      <c r="C285" s="480" t="s"/>
      <c r="D285" s="465" t="s">
        <v>395</v>
      </c>
      <c r="E285" s="478" t="s"/>
    </row>
    <row r="286" spans="2:5">
      <c r="B286" s="479" t="s">
        <v>745</v>
      </c>
      <c r="C286" s="480" t="s"/>
      <c r="D286" s="465" t="s">
        <v>395</v>
      </c>
      <c r="E286" s="478" t="s"/>
    </row>
    <row r="287" spans="2:5">
      <c r="B287" s="479" t="s">
        <v>746</v>
      </c>
      <c r="C287" s="480" t="s"/>
      <c r="D287" s="465" t="s">
        <v>379</v>
      </c>
      <c r="E287" s="478" t="s"/>
    </row>
    <row r="288" spans="2:5">
      <c r="B288" s="479" t="s">
        <v>747</v>
      </c>
      <c r="C288" s="480" t="s"/>
      <c r="D288" s="465" t="s">
        <v>112</v>
      </c>
      <c r="E288" s="478" t="s"/>
    </row>
    <row r="289" spans="2:5">
      <c r="B289" s="479" t="s">
        <v>748</v>
      </c>
      <c r="C289" s="480" t="s"/>
      <c r="D289" s="465" t="s">
        <v>395</v>
      </c>
      <c r="E289" s="478" t="s"/>
    </row>
    <row r="290" spans="2:5">
      <c r="B290" s="479" t="s">
        <v>749</v>
      </c>
      <c r="C290" s="480" t="s"/>
      <c r="D290" s="465" t="s">
        <v>395</v>
      </c>
      <c r="E290" s="478" t="s"/>
    </row>
    <row r="291" spans="2:5">
      <c r="B291" s="479" t="s">
        <v>750</v>
      </c>
      <c r="C291" s="480" t="s"/>
      <c r="D291" s="465" t="s">
        <v>112</v>
      </c>
      <c r="E291" s="478" t="s"/>
    </row>
    <row r="292" spans="2:5">
      <c r="B292" s="479" t="s">
        <v>751</v>
      </c>
      <c r="C292" s="480" t="s"/>
      <c r="D292" s="465" t="s">
        <v>395</v>
      </c>
      <c r="E292" s="478" t="s"/>
    </row>
    <row r="293" spans="2:5">
      <c r="B293" s="479" t="s">
        <v>752</v>
      </c>
      <c r="C293" s="480" t="s"/>
      <c r="D293" s="465" t="s">
        <v>395</v>
      </c>
      <c r="E293" s="478" t="s"/>
    </row>
    <row r="294" spans="2:5">
      <c r="B294" s="479" t="s">
        <v>753</v>
      </c>
      <c r="C294" s="480" t="s"/>
      <c r="D294" s="465" t="s">
        <v>395</v>
      </c>
      <c r="E294" s="478" t="s"/>
    </row>
    <row r="295" spans="2:5">
      <c r="B295" s="479" t="s">
        <v>754</v>
      </c>
      <c r="C295" s="480" t="s"/>
      <c r="D295" s="465" t="s">
        <v>395</v>
      </c>
      <c r="E295" s="478" t="s"/>
    </row>
    <row r="296" spans="2:5">
      <c r="B296" s="479" t="s">
        <v>755</v>
      </c>
      <c r="C296" s="480" t="s"/>
      <c r="D296" s="465" t="s">
        <v>54</v>
      </c>
      <c r="E296" s="478" t="s"/>
    </row>
    <row r="297" spans="2:5">
      <c r="B297" s="479" t="s">
        <v>756</v>
      </c>
      <c r="C297" s="480" t="s"/>
      <c r="D297" s="465" t="s">
        <v>395</v>
      </c>
      <c r="E297" s="478" t="s"/>
    </row>
    <row r="298" spans="2:5">
      <c r="B298" s="479" t="s">
        <v>757</v>
      </c>
      <c r="C298" s="480" t="s"/>
      <c r="D298" s="465" t="s">
        <v>395</v>
      </c>
      <c r="E298" s="478" t="s"/>
    </row>
    <row r="299" spans="2:5">
      <c r="B299" s="479" t="s">
        <v>758</v>
      </c>
      <c r="C299" s="480" t="s"/>
      <c r="D299" s="465" t="s">
        <v>112</v>
      </c>
      <c r="E299" s="478" t="s"/>
    </row>
    <row r="300" spans="2:5">
      <c r="B300" s="479" t="s">
        <v>759</v>
      </c>
      <c r="C300" s="480" t="s"/>
      <c r="D300" s="465" t="s">
        <v>395</v>
      </c>
      <c r="E300" s="478" t="s"/>
    </row>
    <row r="301" spans="2:5">
      <c r="B301" s="479" t="s">
        <v>760</v>
      </c>
      <c r="C301" s="480" t="s"/>
      <c r="D301" s="465" t="s">
        <v>395</v>
      </c>
      <c r="E301" s="478" t="s"/>
    </row>
    <row r="302" spans="2:5">
      <c r="B302" s="479" t="s">
        <v>761</v>
      </c>
      <c r="C302" s="480" t="s"/>
      <c r="D302" s="465" t="s">
        <v>395</v>
      </c>
      <c r="E302" s="478" t="s"/>
    </row>
    <row r="303" spans="2:5">
      <c r="B303" s="479" t="s">
        <v>762</v>
      </c>
      <c r="C303" s="480" t="s"/>
      <c r="D303" s="465" t="s">
        <v>395</v>
      </c>
      <c r="E303" s="478" t="s"/>
    </row>
    <row r="304" spans="2:5">
      <c r="B304" s="479" t="s">
        <v>763</v>
      </c>
      <c r="C304" s="480" t="s"/>
      <c r="D304" s="465" t="s">
        <v>395</v>
      </c>
      <c r="E304" s="478" t="s"/>
    </row>
    <row r="305" spans="2:5">
      <c r="B305" s="479" t="s">
        <v>764</v>
      </c>
      <c r="C305" s="480" t="s"/>
      <c r="D305" s="465" t="s">
        <v>395</v>
      </c>
      <c r="E305" s="478" t="s"/>
    </row>
    <row r="306" spans="2:5">
      <c r="B306" s="479" t="s">
        <v>765</v>
      </c>
      <c r="C306" s="480" t="s"/>
      <c r="D306" s="465" t="s">
        <v>395</v>
      </c>
      <c r="E306" s="478" t="s"/>
    </row>
    <row r="307" spans="2:5">
      <c r="B307" s="479" t="s">
        <v>766</v>
      </c>
      <c r="C307" s="480" t="s"/>
      <c r="D307" s="465" t="s">
        <v>395</v>
      </c>
      <c r="E307" s="478" t="s"/>
    </row>
    <row r="308" spans="2:5">
      <c r="B308" s="479" t="s">
        <v>767</v>
      </c>
      <c r="C308" s="480" t="s"/>
      <c r="D308" s="465" t="s">
        <v>54</v>
      </c>
      <c r="E308" s="478" t="s"/>
    </row>
    <row r="309" spans="2:5">
      <c r="B309" s="479" t="s">
        <v>768</v>
      </c>
      <c r="C309" s="480" t="s"/>
      <c r="D309" s="465" t="s">
        <v>395</v>
      </c>
      <c r="E309" s="478" t="s"/>
    </row>
    <row r="310" spans="2:5">
      <c r="B310" s="479" t="s">
        <v>769</v>
      </c>
      <c r="C310" s="480" t="s"/>
      <c r="D310" s="465" t="s">
        <v>395</v>
      </c>
      <c r="E310" s="478" t="s"/>
    </row>
    <row r="311" spans="2:5">
      <c r="B311" s="479" t="s">
        <v>770</v>
      </c>
      <c r="C311" s="480" t="s"/>
      <c r="D311" s="465" t="s">
        <v>395</v>
      </c>
      <c r="E311" s="478" t="s"/>
    </row>
    <row r="312" spans="2:5">
      <c r="B312" s="479" t="s">
        <v>771</v>
      </c>
      <c r="C312" s="480" t="s"/>
      <c r="D312" s="465" t="s">
        <v>201</v>
      </c>
      <c r="E312" s="478" t="s"/>
    </row>
    <row r="313" spans="2:5">
      <c r="B313" s="479" t="s">
        <v>772</v>
      </c>
      <c r="C313" s="480" t="s"/>
      <c r="D313" s="465" t="s">
        <v>395</v>
      </c>
      <c r="E313" s="478" t="s"/>
    </row>
    <row r="314" spans="2:5">
      <c r="B314" s="479" t="s">
        <v>773</v>
      </c>
      <c r="C314" s="480" t="s"/>
      <c r="D314" s="465" t="s">
        <v>395</v>
      </c>
      <c r="E314" s="478" t="s"/>
    </row>
    <row r="315" spans="2:5">
      <c r="B315" s="479" t="s">
        <v>774</v>
      </c>
      <c r="C315" s="480" t="s"/>
      <c r="D315" s="465" t="s">
        <v>395</v>
      </c>
      <c r="E315" s="478" t="s"/>
    </row>
    <row r="316" spans="2:5">
      <c r="B316" s="479" t="s">
        <v>775</v>
      </c>
      <c r="C316" s="480" t="s"/>
      <c r="D316" s="465" t="s">
        <v>395</v>
      </c>
      <c r="E316" s="478" t="s"/>
    </row>
    <row r="317" spans="2:5">
      <c r="B317" s="479" t="s">
        <v>776</v>
      </c>
      <c r="C317" s="480" t="s"/>
      <c r="D317" s="465" t="s">
        <v>395</v>
      </c>
      <c r="E317" s="478" t="s"/>
    </row>
    <row r="318" spans="2:5">
      <c r="B318" s="479" t="s">
        <v>777</v>
      </c>
      <c r="C318" s="480" t="s"/>
      <c r="D318" s="465" t="s">
        <v>395</v>
      </c>
      <c r="E318" s="478" t="s"/>
    </row>
    <row r="319" spans="2:5">
      <c r="B319" s="479" t="s">
        <v>778</v>
      </c>
      <c r="C319" s="480" t="s"/>
      <c r="D319" s="465" t="s">
        <v>395</v>
      </c>
      <c r="E319" s="478" t="s"/>
    </row>
    <row r="320" spans="2:5">
      <c r="B320" s="479" t="s">
        <v>779</v>
      </c>
      <c r="C320" s="480" t="s"/>
      <c r="D320" s="465" t="s">
        <v>395</v>
      </c>
      <c r="E320" s="478" t="s"/>
    </row>
    <row r="321" spans="2:5">
      <c r="B321" s="479" t="s">
        <v>780</v>
      </c>
      <c r="C321" s="480" t="s"/>
      <c r="D321" s="465" t="s">
        <v>395</v>
      </c>
      <c r="E321" s="478" t="s"/>
    </row>
    <row r="322" spans="2:5">
      <c r="B322" s="479" t="s">
        <v>781</v>
      </c>
      <c r="C322" s="480" t="s"/>
      <c r="D322" s="465" t="s">
        <v>395</v>
      </c>
      <c r="E322" s="478" t="s"/>
    </row>
    <row r="323" spans="2:5">
      <c r="B323" s="479" t="s">
        <v>782</v>
      </c>
      <c r="C323" s="480" t="s"/>
      <c r="D323" s="465" t="s">
        <v>54</v>
      </c>
      <c r="E323" s="478" t="s"/>
    </row>
    <row r="324" spans="2:5">
      <c r="B324" s="479" t="s">
        <v>783</v>
      </c>
      <c r="C324" s="480" t="s"/>
      <c r="D324" s="465" t="s">
        <v>395</v>
      </c>
      <c r="E324" s="478" t="s"/>
    </row>
    <row r="325" spans="2:5">
      <c r="B325" s="479" t="s">
        <v>784</v>
      </c>
      <c r="C325" s="480" t="s"/>
      <c r="D325" s="465" t="s">
        <v>395</v>
      </c>
      <c r="E325" s="478" t="s"/>
    </row>
    <row r="326" spans="2:5">
      <c r="B326" s="479" t="s">
        <v>785</v>
      </c>
      <c r="C326" s="480" t="s"/>
      <c r="D326" s="465" t="s">
        <v>54</v>
      </c>
      <c r="E326" s="478" t="s"/>
    </row>
    <row r="327" spans="2:5">
      <c r="B327" s="479" t="s">
        <v>786</v>
      </c>
      <c r="C327" s="480" t="s"/>
      <c r="D327" s="465" t="s">
        <v>395</v>
      </c>
      <c r="E327" s="478" t="s"/>
    </row>
    <row r="328" spans="2:5">
      <c r="B328" s="479" t="s">
        <v>787</v>
      </c>
      <c r="C328" s="480" t="s"/>
      <c r="D328" s="465" t="s">
        <v>395</v>
      </c>
      <c r="E328" s="478" t="s"/>
    </row>
    <row r="329" spans="2:5">
      <c r="B329" s="479" t="s">
        <v>788</v>
      </c>
      <c r="C329" s="480" t="s"/>
      <c r="D329" s="465" t="s">
        <v>395</v>
      </c>
      <c r="E329" s="478" t="s"/>
    </row>
    <row r="330" spans="2:5">
      <c r="B330" s="479" t="s">
        <v>789</v>
      </c>
      <c r="C330" s="480" t="s"/>
      <c r="D330" s="465" t="s">
        <v>395</v>
      </c>
      <c r="E330" s="478" t="s"/>
    </row>
    <row r="331" spans="2:5">
      <c r="B331" s="479" t="s">
        <v>790</v>
      </c>
      <c r="C331" s="480" t="s"/>
      <c r="D331" s="465" t="s">
        <v>395</v>
      </c>
      <c r="E331" s="478" t="s"/>
    </row>
    <row r="332" spans="2:5">
      <c r="B332" s="479" t="s">
        <v>791</v>
      </c>
      <c r="C332" s="480" t="s"/>
      <c r="D332" s="465" t="s">
        <v>395</v>
      </c>
      <c r="E332" s="478" t="s"/>
    </row>
    <row r="333" spans="2:5">
      <c r="B333" s="479" t="s">
        <v>792</v>
      </c>
      <c r="C333" s="480" t="s"/>
      <c r="D333" s="465" t="s">
        <v>395</v>
      </c>
      <c r="E333" s="478" t="s"/>
    </row>
    <row r="334" spans="2:5">
      <c r="B334" s="479" t="s">
        <v>793</v>
      </c>
      <c r="C334" s="480" t="s"/>
      <c r="D334" s="465" t="s">
        <v>395</v>
      </c>
      <c r="E334" s="478" t="s"/>
    </row>
    <row r="335" spans="2:5">
      <c r="B335" s="479" t="s">
        <v>794</v>
      </c>
      <c r="C335" s="480" t="s"/>
      <c r="D335" s="465" t="s">
        <v>277</v>
      </c>
      <c r="E335" s="482" t="s"/>
    </row>
    <row r="336" spans="2:4">
      <c r="B336" s="483" t="s">
        <v>795</v>
      </c>
      <c r="C336" s="481" t="s"/>
      <c r="D336" s="481" t="s"/>
    </row>
  </sheetData>
  <mergeCells count="1">
    <mergeCell ref="G1:J7"/>
  </mergeCells>
  <dataValidations>
    <dataValidation type="list" errorStyle="stop" showInputMessage="1" showErrorMessage="1" prompt="" sqref="C2:C33">
      <formula1>"叶天立,郑一凡,王立德,唐一夫,黄芷晴,巩让,赵梓萱,陈珍妮,未分配,对接人,"</formula1>
      <formula2/>
    </dataValidation>
    <dataValidation type="list" errorStyle="stop" showInputMessage="1" showErrorMessage="1" prompt="" sqref="D2:D335">
      <formula1>"叶天立,郑一凡,王立德,唐一夫,黄芷晴,巩让,赵梓萱,陈珍妮,未分配,对接人,"</formula1>
      <formula2/>
    </dataValidation>
  </dataValidations>
</worksheet>
</file>

<file path=xl/worksheets/sheet7.xml><?xml version="1.0" encoding="utf-8"?>
<worksheet xmlns="http://schemas.openxmlformats.org/spreadsheetml/2006/main">
  <sheetPr codeName="【资金占用积数统计表】2025">
    <tabColor/>
  </sheetPr>
  <dimension ref="H991"/>
  <sheetViews>
    <sheetView showGridLines="1" workbookViewId="0">
      <pane ySplit="3" topLeftCell="A4" state="frozen"/>
    </sheetView>
  </sheetViews>
  <sheetFormatPr baseColWidth="13" defaultRowHeight="18" customHeight="1"/>
  <cols>
    <col min="1" max="1" width="12.0039" style="316" customWidth="1"/>
    <col min="2" max="2" width="18.8828" style="764" customWidth="1"/>
    <col min="3" max="3" width="22.9336" style="764" customWidth="1"/>
    <col min="4" max="4" width="26.5742" style="764" customWidth="1"/>
    <col min="5" max="5" width="32.5039" style="765" customWidth="1"/>
    <col min="6" max="6" width="19.4219" style="764" customWidth="1"/>
    <col min="7" max="7" width="21.582" style="774" customWidth="1"/>
    <col min="8" max="8" width="22.2539" style="86" customWidth="1"/>
    <col min="9" max="9" width="25.2031" customWidth="1"/>
  </cols>
  <sheetData>
    <row r="1" spans="1:8" ht="27" customHeight="1">
      <c r="A1" s="484" t="s">
        <v>2421</v>
      </c>
      <c r="B1" s="485" t="s"/>
      <c r="C1" s="485" t="s"/>
      <c r="D1" s="485" t="s"/>
      <c r="E1" s="485" t="s"/>
      <c r="F1" s="485" t="s"/>
      <c r="G1" s="485" t="s"/>
      <c r="H1" s="486" t="s"/>
    </row>
    <row r="2" spans="1:8" ht="47.25" customHeight="1">
      <c r="A2" s="487" t="s">
        <v>265</v>
      </c>
      <c r="B2" s="488" t="s">
        <v>281</v>
      </c>
      <c r="C2" s="488" t="s">
        <v>282</v>
      </c>
      <c r="D2" s="488" t="s">
        <v>283</v>
      </c>
      <c r="E2" s="489" t="s">
        <v>284</v>
      </c>
      <c r="F2" s="490" t="s">
        <v>285</v>
      </c>
      <c r="G2" s="491" t="s">
        <v>286</v>
      </c>
      <c r="H2" s="486" t="s"/>
    </row>
    <row r="3" spans="1:8">
      <c r="A3" s="492" t="s"/>
      <c r="B3" s="493" t="s">
        <v>289</v>
      </c>
      <c r="C3" s="493" t="s">
        <v>290</v>
      </c>
      <c r="D3" s="493" t="s">
        <v>291</v>
      </c>
      <c r="E3" s="494" t="s">
        <v>292</v>
      </c>
      <c r="F3" s="495" t="s"/>
      <c r="G3" s="496" t="s"/>
      <c r="H3" s="486" t="s"/>
    </row>
    <row r="4" spans="1:8">
      <c r="A4" s="497">
        <v>45769</v>
      </c>
      <c r="B4" s="498" t="s">
        <v>209</v>
      </c>
      <c r="C4" s="498" t="s">
        <v>209</v>
      </c>
      <c r="D4" s="498" t="s">
        <v>209</v>
      </c>
      <c r="E4" s="499" t="s">
        <v>209</v>
      </c>
      <c r="F4" s="500" t="s">
        <v>213</v>
      </c>
      <c r="G4" s="501">
        <v>0</v>
      </c>
      <c r="H4" s="486">
        <v>0.027401</v>
      </c>
    </row>
    <row r="5" spans="1:8">
      <c r="A5" s="497">
        <v>45770</v>
      </c>
      <c r="B5" s="498">
        <v>-80750</v>
      </c>
      <c r="C5" s="498" t="s">
        <v>209</v>
      </c>
      <c r="D5" s="498" t="s">
        <v>209</v>
      </c>
      <c r="E5" s="502" t="s">
        <v>209</v>
      </c>
      <c r="F5" s="500">
        <f>SUM(B5:E5)</f>
        <v>-80750</v>
      </c>
      <c r="G5" s="501">
        <f>G4+F5</f>
        <v>-80750</v>
      </c>
      <c r="H5" s="486">
        <v>0.026891</v>
      </c>
    </row>
    <row r="6" spans="1:8">
      <c r="A6" s="497">
        <v>45771</v>
      </c>
      <c r="B6" s="498">
        <v>-79990</v>
      </c>
      <c r="C6" s="498" t="s">
        <v>209</v>
      </c>
      <c r="D6" s="498" t="s">
        <v>209</v>
      </c>
      <c r="E6" s="502" t="s">
        <v>209</v>
      </c>
      <c r="F6" s="500">
        <f>SUM(B6:E6)</f>
        <v>-79990</v>
      </c>
      <c r="G6" s="501">
        <f>G5+F6</f>
        <v>-160740</v>
      </c>
      <c r="H6" s="486">
        <v>0.026891</v>
      </c>
    </row>
    <row r="7" spans="1:8">
      <c r="A7" s="497">
        <v>45772</v>
      </c>
      <c r="B7" s="498">
        <v>-155760</v>
      </c>
      <c r="C7" s="498" t="s">
        <v>209</v>
      </c>
      <c r="D7" s="498" t="s">
        <v>209</v>
      </c>
      <c r="E7" s="502" t="s">
        <v>209</v>
      </c>
      <c r="F7" s="500">
        <f>SUM(B7:E7)</f>
        <v>-155760</v>
      </c>
      <c r="G7" s="501">
        <f>G6+F7</f>
        <v>-316500</v>
      </c>
      <c r="H7" s="486">
        <v>0.026891</v>
      </c>
    </row>
    <row r="8" spans="1:8">
      <c r="A8" s="497">
        <v>45773</v>
      </c>
      <c r="B8" s="498" t="s">
        <v>213</v>
      </c>
      <c r="C8" s="498" t="s">
        <v>209</v>
      </c>
      <c r="D8" s="498" t="s">
        <v>209</v>
      </c>
      <c r="E8" s="502" t="s">
        <v>209</v>
      </c>
      <c r="F8" s="500">
        <f>SUM(B8:E8)</f>
        <v>0</v>
      </c>
      <c r="G8" s="501">
        <f>G7+F8</f>
        <v>-316500</v>
      </c>
      <c r="H8" s="486">
        <v>0.026891</v>
      </c>
    </row>
    <row r="9" spans="1:8">
      <c r="A9" s="497">
        <v>45774</v>
      </c>
      <c r="B9" s="498" t="s">
        <v>213</v>
      </c>
      <c r="C9" s="498" t="s">
        <v>209</v>
      </c>
      <c r="D9" s="498" t="s">
        <v>209</v>
      </c>
      <c r="E9" s="502" t="s">
        <v>209</v>
      </c>
      <c r="F9" s="500">
        <f>SUM(B9:E9)</f>
        <v>0</v>
      </c>
      <c r="G9" s="501">
        <f>G8+F9</f>
        <v>-316500</v>
      </c>
      <c r="H9" s="486">
        <v>0.026891</v>
      </c>
    </row>
    <row r="10" spans="1:8">
      <c r="A10" s="497">
        <v>45775</v>
      </c>
      <c r="B10" s="498" t="s">
        <v>213</v>
      </c>
      <c r="C10" s="498" t="s">
        <v>209</v>
      </c>
      <c r="D10" s="498" t="s">
        <v>209</v>
      </c>
      <c r="E10" s="502" t="s">
        <v>209</v>
      </c>
      <c r="F10" s="500">
        <f>SUM(B10:E10)</f>
        <v>0</v>
      </c>
      <c r="G10" s="501">
        <f>G9+F10</f>
        <v>-316500</v>
      </c>
      <c r="H10" s="486">
        <v>0.026891</v>
      </c>
    </row>
    <row r="11" spans="1:8">
      <c r="A11" s="497">
        <v>45776</v>
      </c>
      <c r="B11" s="498">
        <v>-52900</v>
      </c>
      <c r="C11" s="498" t="s">
        <v>209</v>
      </c>
      <c r="D11" s="498" t="s">
        <v>209</v>
      </c>
      <c r="E11" s="502" t="s">
        <v>209</v>
      </c>
      <c r="F11" s="500">
        <f>SUM(B11:E11)</f>
        <v>-52900</v>
      </c>
      <c r="G11" s="501">
        <f>G10+F11</f>
        <v>-369400</v>
      </c>
      <c r="H11" s="486">
        <v>0.026835</v>
      </c>
    </row>
    <row r="12" spans="1:8">
      <c r="A12" s="497">
        <v>45777</v>
      </c>
      <c r="B12" s="498">
        <v>-84040</v>
      </c>
      <c r="C12" s="498" t="s">
        <v>209</v>
      </c>
      <c r="D12" s="498" t="s">
        <v>209</v>
      </c>
      <c r="E12" s="502" t="s">
        <v>209</v>
      </c>
      <c r="F12" s="500">
        <f>SUM(B12:E12)</f>
        <v>-84040</v>
      </c>
      <c r="G12" s="501">
        <f>G11+F12</f>
        <v>-453440</v>
      </c>
      <c r="H12" s="486">
        <v>0.026835</v>
      </c>
    </row>
    <row r="13" spans="1:8">
      <c r="A13" s="497">
        <v>45778</v>
      </c>
      <c r="B13" s="498" t="s">
        <v>209</v>
      </c>
      <c r="C13" s="498" t="s">
        <v>209</v>
      </c>
      <c r="D13" s="498" t="s">
        <v>209</v>
      </c>
      <c r="E13" s="502" t="s">
        <v>209</v>
      </c>
      <c r="F13" s="500">
        <f>SUM(B13:E13)</f>
        <v>0</v>
      </c>
      <c r="G13" s="501">
        <f>G12+F13</f>
        <v>-453440</v>
      </c>
      <c r="H13" s="486">
        <v>0.026835</v>
      </c>
    </row>
    <row r="14" spans="1:8">
      <c r="A14" s="497">
        <v>45779</v>
      </c>
      <c r="B14" s="498" t="s">
        <v>209</v>
      </c>
      <c r="C14" s="498" t="s">
        <v>209</v>
      </c>
      <c r="D14" s="498" t="s">
        <v>209</v>
      </c>
      <c r="E14" s="502" t="s">
        <v>209</v>
      </c>
      <c r="F14" s="500">
        <f>SUM(B14:E14)</f>
        <v>0</v>
      </c>
      <c r="G14" s="501">
        <f>G13+F14</f>
        <v>-453440</v>
      </c>
      <c r="H14" s="486">
        <v>0.026835</v>
      </c>
    </row>
    <row r="15" spans="1:8">
      <c r="A15" s="497">
        <v>45780</v>
      </c>
      <c r="B15" s="498" t="s">
        <v>209</v>
      </c>
      <c r="C15" s="498" t="s">
        <v>209</v>
      </c>
      <c r="D15" s="498" t="s">
        <v>209</v>
      </c>
      <c r="E15" s="502" t="s">
        <v>209</v>
      </c>
      <c r="F15" s="500">
        <f>SUM(B15:E15)</f>
        <v>0</v>
      </c>
      <c r="G15" s="501">
        <f>G14+F15</f>
        <v>-453440</v>
      </c>
      <c r="H15" s="486">
        <v>0.026835</v>
      </c>
    </row>
    <row r="16" spans="1:8">
      <c r="A16" s="497">
        <v>45781</v>
      </c>
      <c r="B16" s="498" t="s">
        <v>209</v>
      </c>
      <c r="C16" s="498" t="s">
        <v>209</v>
      </c>
      <c r="D16" s="498" t="s">
        <v>209</v>
      </c>
      <c r="E16" s="502" t="s">
        <v>209</v>
      </c>
      <c r="F16" s="500">
        <f>SUM(B16:E16)</f>
        <v>0</v>
      </c>
      <c r="G16" s="501">
        <f>G15+F16</f>
        <v>-453440</v>
      </c>
      <c r="H16" s="486">
        <v>0.026835</v>
      </c>
    </row>
    <row r="17" spans="1:8">
      <c r="A17" s="497">
        <v>45782</v>
      </c>
      <c r="B17" s="498" t="s">
        <v>209</v>
      </c>
      <c r="C17" s="498" t="s">
        <v>209</v>
      </c>
      <c r="D17" s="498" t="s">
        <v>209</v>
      </c>
      <c r="E17" s="502" t="s">
        <v>209</v>
      </c>
      <c r="F17" s="500">
        <f>SUM(B17:E17)</f>
        <v>0</v>
      </c>
      <c r="G17" s="501">
        <f>G16+F17</f>
        <v>-453440</v>
      </c>
      <c r="H17" s="486">
        <v>0.026835</v>
      </c>
    </row>
    <row r="18" spans="1:8">
      <c r="A18" s="497">
        <v>45783</v>
      </c>
      <c r="B18" s="498" t="s">
        <v>209</v>
      </c>
      <c r="C18" s="498" t="s">
        <v>209</v>
      </c>
      <c r="D18" s="498" t="s">
        <v>209</v>
      </c>
      <c r="E18" s="502" t="s">
        <v>209</v>
      </c>
      <c r="F18" s="500">
        <f>SUM(B18:E18)</f>
        <v>0</v>
      </c>
      <c r="G18" s="501">
        <f>G17+F18</f>
        <v>-453440</v>
      </c>
      <c r="H18" s="486">
        <v>0.026264</v>
      </c>
    </row>
    <row r="19" spans="1:8">
      <c r="A19" s="497">
        <v>45784</v>
      </c>
      <c r="B19" s="498" t="s">
        <v>209</v>
      </c>
      <c r="C19" s="498" t="s">
        <v>209</v>
      </c>
      <c r="D19" s="498" t="s">
        <v>209</v>
      </c>
      <c r="E19" s="502" t="s">
        <v>209</v>
      </c>
      <c r="F19" s="500">
        <f>SUM(B19:E19)</f>
        <v>0</v>
      </c>
      <c r="G19" s="501">
        <f>G18+F19</f>
        <v>-453440</v>
      </c>
      <c r="H19" s="486">
        <v>0.026264</v>
      </c>
    </row>
    <row r="20" spans="1:8">
      <c r="A20" s="497">
        <v>45785</v>
      </c>
      <c r="B20" s="498">
        <v>-62880</v>
      </c>
      <c r="C20" s="498" t="s">
        <v>209</v>
      </c>
      <c r="D20" s="498" t="s">
        <v>209</v>
      </c>
      <c r="E20" s="502" t="s">
        <v>209</v>
      </c>
      <c r="F20" s="500">
        <f>SUM(B20:E20)</f>
        <v>-62880</v>
      </c>
      <c r="G20" s="501">
        <f>G19+F20</f>
        <v>-516320</v>
      </c>
      <c r="H20" s="486">
        <v>0.026263</v>
      </c>
    </row>
    <row r="21" spans="1:8">
      <c r="A21" s="497">
        <v>45786</v>
      </c>
      <c r="B21" s="498" t="s">
        <v>213</v>
      </c>
      <c r="C21" s="498" t="s">
        <v>209</v>
      </c>
      <c r="D21" s="498" t="s">
        <v>209</v>
      </c>
      <c r="E21" s="502" t="s">
        <v>209</v>
      </c>
      <c r="F21" s="500">
        <f>SUM(B21:E21)</f>
        <v>0</v>
      </c>
      <c r="G21" s="501">
        <f>G20+F21</f>
        <v>-516320</v>
      </c>
      <c r="H21" s="486">
        <v>0.026263</v>
      </c>
    </row>
    <row r="22" spans="1:8">
      <c r="A22" s="497">
        <v>45787</v>
      </c>
      <c r="B22" s="498" t="s">
        <v>209</v>
      </c>
      <c r="C22" s="498" t="s">
        <v>209</v>
      </c>
      <c r="D22" s="498" t="s">
        <v>209</v>
      </c>
      <c r="E22" s="502" t="s">
        <v>209</v>
      </c>
      <c r="F22" s="500">
        <f>SUM(B22:E22)</f>
        <v>0</v>
      </c>
      <c r="G22" s="501">
        <f>G21+F22</f>
        <v>-516320</v>
      </c>
      <c r="H22" s="486">
        <v>0.026263</v>
      </c>
    </row>
    <row r="23" spans="1:8">
      <c r="A23" s="497">
        <v>45788</v>
      </c>
      <c r="B23" s="498" t="s">
        <v>209</v>
      </c>
      <c r="C23" s="498" t="s">
        <v>209</v>
      </c>
      <c r="D23" s="498" t="s">
        <v>209</v>
      </c>
      <c r="E23" s="502" t="s">
        <v>209</v>
      </c>
      <c r="F23" s="500">
        <f>SUM(B23:E23)</f>
        <v>0</v>
      </c>
      <c r="G23" s="501">
        <f>G22+F23</f>
        <v>-516320</v>
      </c>
      <c r="H23" s="486">
        <v>0.026263</v>
      </c>
    </row>
    <row r="24" spans="1:8">
      <c r="A24" s="497">
        <v>45789</v>
      </c>
      <c r="B24" s="498" t="s">
        <v>209</v>
      </c>
      <c r="C24" s="498" t="s">
        <v>209</v>
      </c>
      <c r="D24" s="498" t="s">
        <v>209</v>
      </c>
      <c r="E24" s="502" t="s">
        <v>209</v>
      </c>
      <c r="F24" s="500">
        <f>SUM(B24:E24)</f>
        <v>0</v>
      </c>
      <c r="G24" s="501">
        <f>G23+F24</f>
        <v>-516320</v>
      </c>
      <c r="H24" s="486">
        <v>0.026263</v>
      </c>
    </row>
    <row r="25" spans="1:8">
      <c r="A25" s="497">
        <v>45790</v>
      </c>
      <c r="B25" s="498">
        <v>-3150</v>
      </c>
      <c r="C25" s="498" t="s">
        <v>209</v>
      </c>
      <c r="D25" s="498" t="s">
        <v>209</v>
      </c>
      <c r="E25" s="502" t="s">
        <v>209</v>
      </c>
      <c r="F25" s="500">
        <f>SUM(B25:E25)</f>
        <v>-3150</v>
      </c>
      <c r="G25" s="501">
        <f>G24+F25</f>
        <v>-519470</v>
      </c>
      <c r="H25" s="486">
        <v>0.026264</v>
      </c>
    </row>
    <row r="26" spans="1:9">
      <c r="A26" s="497">
        <v>45791</v>
      </c>
      <c r="B26" s="498">
        <v>-3111.11</v>
      </c>
      <c r="C26" s="498" t="s">
        <v>209</v>
      </c>
      <c r="D26" s="498" t="s">
        <v>209</v>
      </c>
      <c r="E26" s="502" t="s">
        <v>209</v>
      </c>
      <c r="F26" s="500">
        <f>SUM(B26:E26)</f>
        <v>-3111.11</v>
      </c>
      <c r="G26" s="501">
        <f>G25+F26</f>
        <v>-522581.11</v>
      </c>
      <c r="H26" s="486" t="s"/>
      <c r="I26" s="503" t="s"/>
    </row>
    <row r="27" spans="1:9">
      <c r="A27" s="497">
        <v>45792</v>
      </c>
      <c r="B27" s="498">
        <v>-9137984.44</v>
      </c>
      <c r="C27" s="498" t="s">
        <v>209</v>
      </c>
      <c r="D27" s="498" t="s">
        <v>209</v>
      </c>
      <c r="E27" s="502" t="s">
        <v>796</v>
      </c>
      <c r="F27" s="500">
        <f>SUM(B27:E27)</f>
        <v>-9137984.44</v>
      </c>
      <c r="G27" s="501">
        <f>G26+F27</f>
        <v>-9660565.55</v>
      </c>
      <c r="H27" s="486" t="s"/>
      <c r="I27" s="504" t="s"/>
    </row>
    <row r="28" spans="1:8">
      <c r="A28" s="497">
        <v>45793</v>
      </c>
      <c r="B28" s="498">
        <v>9006594.44</v>
      </c>
      <c r="C28" s="498" t="s">
        <v>209</v>
      </c>
      <c r="D28" s="498" t="s">
        <v>209</v>
      </c>
      <c r="E28" s="502" t="s">
        <v>797</v>
      </c>
      <c r="F28" s="500">
        <f>SUM(B28:E28)</f>
        <v>9006594.44</v>
      </c>
      <c r="G28" s="501">
        <f>G27+F28</f>
        <v>-653971.11</v>
      </c>
      <c r="H28" s="486" t="s"/>
    </row>
    <row r="29" spans="1:8">
      <c r="A29" s="497">
        <v>45794</v>
      </c>
      <c r="B29" s="498" t="s">
        <v>209</v>
      </c>
      <c r="C29" s="498" t="s">
        <v>209</v>
      </c>
      <c r="D29" s="498" t="s">
        <v>209</v>
      </c>
      <c r="E29" s="502" t="s">
        <v>209</v>
      </c>
      <c r="F29" s="500">
        <f>SUM(B29:E29)</f>
        <v>0</v>
      </c>
      <c r="G29" s="501">
        <f>G28+F29</f>
        <v>-653971.11</v>
      </c>
      <c r="H29" s="486" t="s"/>
    </row>
    <row r="30" spans="1:8">
      <c r="A30" s="497">
        <v>45795</v>
      </c>
      <c r="B30" s="498" t="s">
        <v>209</v>
      </c>
      <c r="C30" s="498" t="s">
        <v>209</v>
      </c>
      <c r="D30" s="498" t="s">
        <v>209</v>
      </c>
      <c r="E30" s="502" t="s">
        <v>209</v>
      </c>
      <c r="F30" s="500">
        <f>SUM(B30:E30)</f>
        <v>0</v>
      </c>
      <c r="G30" s="501">
        <f>G29+F30</f>
        <v>-653971.11</v>
      </c>
      <c r="H30" s="486" t="s"/>
    </row>
    <row r="31" spans="1:8">
      <c r="A31" s="497">
        <v>45796</v>
      </c>
      <c r="B31" s="498">
        <v>139979691.67</v>
      </c>
      <c r="C31" s="498" t="s">
        <v>209</v>
      </c>
      <c r="D31" s="498">
        <v>-70000000</v>
      </c>
      <c r="E31" s="502" t="s">
        <v>798</v>
      </c>
      <c r="F31" s="500">
        <f>SUM(B31:E31)</f>
        <v>69979691.67</v>
      </c>
      <c r="G31" s="501">
        <f>G30+F31</f>
        <v>69325720.56</v>
      </c>
      <c r="H31" s="486" t="s"/>
    </row>
    <row r="32" spans="1:8">
      <c r="A32" s="497">
        <v>45797</v>
      </c>
      <c r="B32" s="498">
        <v>-171389.43</v>
      </c>
      <c r="C32" s="498">
        <v>-70019347.96</v>
      </c>
      <c r="D32" s="498" t="s">
        <v>209</v>
      </c>
      <c r="E32" s="502" t="s">
        <v>209</v>
      </c>
      <c r="F32" s="500">
        <f>SUM(B32:E32)</f>
        <v>-70190737.39</v>
      </c>
      <c r="G32" s="501">
        <f>G31+F32</f>
        <v>-865016.830000013</v>
      </c>
      <c r="H32" s="486" t="s"/>
    </row>
    <row r="33" spans="1:8">
      <c r="A33" s="497">
        <v>45798</v>
      </c>
      <c r="B33" s="498">
        <v>2291.67</v>
      </c>
      <c r="C33" s="498" t="s">
        <v>209</v>
      </c>
      <c r="D33" s="498" t="s">
        <v>209</v>
      </c>
      <c r="E33" s="502" t="s">
        <v>209</v>
      </c>
      <c r="F33" s="500">
        <f>SUM(B33:E33)</f>
        <v>2291.67</v>
      </c>
      <c r="G33" s="501">
        <f>G32+F33</f>
        <v>-862725.160000013</v>
      </c>
      <c r="H33" s="486" t="s"/>
    </row>
    <row r="34" spans="1:8">
      <c r="A34" s="497">
        <v>45799</v>
      </c>
      <c r="B34" s="498">
        <v>-104533433.38</v>
      </c>
      <c r="C34" s="498">
        <v>94029016.45</v>
      </c>
      <c r="D34" s="498" t="s">
        <v>209</v>
      </c>
      <c r="E34" s="502" t="s">
        <v>209</v>
      </c>
      <c r="F34" s="500">
        <f>SUM(B34:E34)</f>
        <v>-10504416.93</v>
      </c>
      <c r="G34" s="501">
        <f>G33+F34</f>
        <v>-11367142.09</v>
      </c>
      <c r="H34" s="486" t="s"/>
    </row>
    <row r="35" spans="1:8">
      <c r="A35" s="497">
        <v>45800</v>
      </c>
      <c r="B35" s="498">
        <v>64261496.82</v>
      </c>
      <c r="C35" s="498">
        <v>-63990024.66</v>
      </c>
      <c r="D35" s="498">
        <v>-30000000</v>
      </c>
      <c r="E35" s="502" t="s">
        <v>799</v>
      </c>
      <c r="F35" s="500">
        <f>SUM(B35:E35)</f>
        <v>-29728527.84</v>
      </c>
      <c r="G35" s="501">
        <f>G34+F35</f>
        <v>-41095669.93</v>
      </c>
      <c r="H35" s="486" t="s"/>
    </row>
    <row r="36" spans="1:8">
      <c r="A36" s="497">
        <v>45801</v>
      </c>
      <c r="B36" s="498" t="s">
        <v>209</v>
      </c>
      <c r="C36" s="498" t="s">
        <v>209</v>
      </c>
      <c r="D36" s="498" t="s">
        <v>209</v>
      </c>
      <c r="E36" s="502" t="s">
        <v>209</v>
      </c>
      <c r="F36" s="500">
        <f>SUM(B36:E36)</f>
        <v>0</v>
      </c>
      <c r="G36" s="501">
        <f>G35+F36</f>
        <v>-41095669.93</v>
      </c>
      <c r="H36" s="486" t="s"/>
    </row>
    <row r="37" spans="1:8">
      <c r="A37" s="497">
        <v>45802</v>
      </c>
      <c r="B37" s="498" t="s">
        <v>209</v>
      </c>
      <c r="C37" s="498" t="s">
        <v>209</v>
      </c>
      <c r="D37" s="498" t="s">
        <v>209</v>
      </c>
      <c r="E37" s="505" t="s">
        <v>209</v>
      </c>
      <c r="F37" s="500">
        <f>SUM(B37:E37)</f>
        <v>0</v>
      </c>
      <c r="G37" s="501">
        <f>G36+F37</f>
        <v>-41095669.93</v>
      </c>
      <c r="H37" s="486" t="s"/>
    </row>
    <row r="38" spans="1:8">
      <c r="A38" s="497">
        <v>45803</v>
      </c>
      <c r="B38" s="498">
        <v>97732837.4</v>
      </c>
      <c r="C38" s="498">
        <v>-30939949.04</v>
      </c>
      <c r="D38" s="498" t="s">
        <v>209</v>
      </c>
      <c r="E38" s="505" t="s">
        <v>209</v>
      </c>
      <c r="F38" s="500">
        <f>SUM(B38:E38)</f>
        <v>66792888.36</v>
      </c>
      <c r="G38" s="501">
        <f>G37+F38</f>
        <v>25697218.43</v>
      </c>
      <c r="H38" s="486" t="s"/>
    </row>
    <row r="39" spans="1:8">
      <c r="A39" s="497">
        <v>45804</v>
      </c>
      <c r="B39" s="498">
        <v>-30088355.56</v>
      </c>
      <c r="C39" s="498" t="s">
        <v>209</v>
      </c>
      <c r="D39" s="498" t="s">
        <v>209</v>
      </c>
      <c r="E39" s="505" t="s">
        <v>209</v>
      </c>
      <c r="F39" s="500">
        <f>SUM(B39:E39)</f>
        <v>-30088355.56</v>
      </c>
      <c r="G39" s="501">
        <f>G38+F39</f>
        <v>-4391137.12999999</v>
      </c>
      <c r="H39" s="486" t="s"/>
    </row>
    <row r="40" spans="1:8">
      <c r="A40" s="497">
        <v>45805</v>
      </c>
      <c r="B40" s="498">
        <v>39987540.01</v>
      </c>
      <c r="C40" s="498">
        <v>-20011413.7</v>
      </c>
      <c r="D40" s="498" t="s">
        <v>209</v>
      </c>
      <c r="E40" s="506" t="s">
        <v>2422</v>
      </c>
      <c r="F40" s="500">
        <f>SUM(B40:E40)</f>
        <v>19976126.31</v>
      </c>
      <c r="G40" s="501">
        <f>G39+F40</f>
        <v>15584989.18</v>
      </c>
      <c r="H40" s="486" t="s"/>
    </row>
    <row r="41" spans="1:8">
      <c r="A41" s="497">
        <v>45806</v>
      </c>
      <c r="B41" s="498">
        <v>-10027387</v>
      </c>
      <c r="C41" s="498" t="s">
        <v>209</v>
      </c>
      <c r="D41" s="498" t="s">
        <v>209</v>
      </c>
      <c r="E41" s="505" t="s">
        <v>209</v>
      </c>
      <c r="F41" s="500">
        <f>SUM(B41:E41)</f>
        <v>-10027387</v>
      </c>
      <c r="G41" s="501">
        <f>G40+F41</f>
        <v>5557602.18000001</v>
      </c>
      <c r="H41" s="486" t="s"/>
    </row>
    <row r="42" spans="1:8">
      <c r="A42" s="497">
        <v>45807</v>
      </c>
      <c r="B42" s="498">
        <v>160006888.89</v>
      </c>
      <c r="C42" s="498" t="s">
        <v>209</v>
      </c>
      <c r="D42" s="498" t="s">
        <v>209</v>
      </c>
      <c r="E42" s="505" t="s">
        <v>209</v>
      </c>
      <c r="F42" s="500">
        <f>SUM(B42:E42)</f>
        <v>160006888.89</v>
      </c>
      <c r="G42" s="501">
        <f>G41+F42</f>
        <v>165564491.07</v>
      </c>
      <c r="H42" s="486" t="s"/>
    </row>
    <row r="43" spans="1:8">
      <c r="A43" s="497">
        <v>45808</v>
      </c>
      <c r="B43" s="498" t="s">
        <v>209</v>
      </c>
      <c r="C43" s="498" t="s">
        <v>209</v>
      </c>
      <c r="D43" s="498" t="s">
        <v>209</v>
      </c>
      <c r="E43" s="505" t="s">
        <v>209</v>
      </c>
      <c r="F43" s="500">
        <f>SUM(B43:E43)</f>
        <v>0</v>
      </c>
      <c r="G43" s="501">
        <f>G42+F43</f>
        <v>165564491.07</v>
      </c>
      <c r="H43" s="486" t="s"/>
    </row>
    <row r="44" spans="1:8">
      <c r="A44" s="497">
        <v>45809</v>
      </c>
      <c r="B44" s="498" t="s">
        <v>209</v>
      </c>
      <c r="C44" s="498" t="s">
        <v>209</v>
      </c>
      <c r="D44" s="498" t="s">
        <v>209</v>
      </c>
      <c r="E44" s="505" t="s">
        <v>209</v>
      </c>
      <c r="F44" s="500">
        <f>SUM(B44:E44)</f>
        <v>0</v>
      </c>
      <c r="G44" s="501">
        <f>G43+F44</f>
        <v>165564491.07</v>
      </c>
      <c r="H44" s="486" t="s"/>
    </row>
    <row r="45" spans="1:8">
      <c r="A45" s="497">
        <v>45810</v>
      </c>
      <c r="B45" s="498" t="s">
        <v>209</v>
      </c>
      <c r="C45" s="498" t="s">
        <v>209</v>
      </c>
      <c r="D45" s="498" t="s">
        <v>209</v>
      </c>
      <c r="E45" s="505" t="s">
        <v>209</v>
      </c>
      <c r="F45" s="500">
        <f>SUM(B45:E45)</f>
        <v>0</v>
      </c>
      <c r="G45" s="501">
        <f>G44+F45</f>
        <v>165564491.07</v>
      </c>
      <c r="H45" s="486" t="s"/>
    </row>
    <row r="46" spans="1:8">
      <c r="A46" s="497">
        <v>45811</v>
      </c>
      <c r="B46" s="498">
        <v>-218042750</v>
      </c>
      <c r="C46" s="498" t="s">
        <v>209</v>
      </c>
      <c r="D46" s="507">
        <v>42751698.63</v>
      </c>
      <c r="E46" s="508" t="s">
        <v>2423</v>
      </c>
      <c r="F46" s="500">
        <f>SUM(B46:E46)</f>
        <v>-175291051.37</v>
      </c>
      <c r="G46" s="501">
        <f>G45+F46</f>
        <v>-9726560.30000001</v>
      </c>
      <c r="H46" s="486" t="s"/>
    </row>
    <row r="47" spans="1:8">
      <c r="A47" s="497">
        <v>45812</v>
      </c>
      <c r="B47" s="498">
        <v>21769688.89</v>
      </c>
      <c r="C47" s="498">
        <v>-1000</v>
      </c>
      <c r="D47" s="498">
        <v>-10000000</v>
      </c>
      <c r="E47" s="506" t="s">
        <v>2424</v>
      </c>
      <c r="F47" s="500">
        <f>SUM(B47:E47)</f>
        <v>11768688.89</v>
      </c>
      <c r="G47" s="501">
        <f>G46+F47</f>
        <v>2042128.58999999</v>
      </c>
      <c r="H47" s="486" t="s"/>
    </row>
    <row r="48" spans="1:8">
      <c r="A48" s="497">
        <v>45813</v>
      </c>
      <c r="B48" s="498">
        <v>-19996452.5</v>
      </c>
      <c r="C48" s="498" t="s">
        <v>209</v>
      </c>
      <c r="D48" s="498">
        <v>30000000</v>
      </c>
      <c r="E48" s="506" t="s">
        <v>2425</v>
      </c>
      <c r="F48" s="500">
        <f>SUM(B48:E48)</f>
        <v>10003547.5</v>
      </c>
      <c r="G48" s="501">
        <f>G47+F48</f>
        <v>12045676.09</v>
      </c>
      <c r="H48" s="486" t="s"/>
    </row>
    <row r="49" spans="1:8">
      <c r="A49" s="497">
        <v>45814</v>
      </c>
      <c r="B49" s="498">
        <v>-49997921.11</v>
      </c>
      <c r="C49" s="498" t="s">
        <v>209</v>
      </c>
      <c r="D49" s="498" t="s">
        <v>213</v>
      </c>
      <c r="E49" s="509" t="s">
        <v>2426</v>
      </c>
      <c r="F49" s="500">
        <f>SUM(B49:E49)</f>
        <v>-49997921.11</v>
      </c>
      <c r="G49" s="501">
        <f>G48+F49</f>
        <v>-37952245.02</v>
      </c>
      <c r="H49" s="486" t="s"/>
    </row>
    <row r="50" spans="1:8">
      <c r="A50" s="497">
        <v>45815</v>
      </c>
      <c r="B50" s="498" t="s">
        <v>209</v>
      </c>
      <c r="C50" s="498" t="s">
        <v>209</v>
      </c>
      <c r="D50" s="498" t="s">
        <v>209</v>
      </c>
      <c r="E50" s="505" t="s">
        <v>209</v>
      </c>
      <c r="F50" s="500">
        <f>SUM(B50:E50)</f>
        <v>0</v>
      </c>
      <c r="G50" s="501">
        <f>G49+F50</f>
        <v>-37952245.02</v>
      </c>
      <c r="H50" s="486" t="s"/>
    </row>
    <row r="51" spans="1:8">
      <c r="A51" s="497">
        <v>45816</v>
      </c>
      <c r="B51" s="498" t="s">
        <v>209</v>
      </c>
      <c r="C51" s="498" t="s">
        <v>209</v>
      </c>
      <c r="D51" s="498" t="s">
        <v>209</v>
      </c>
      <c r="E51" s="505" t="s">
        <v>209</v>
      </c>
      <c r="F51" s="500">
        <f>SUM(B51:E51)</f>
        <v>0</v>
      </c>
      <c r="G51" s="501">
        <f>G50+F51</f>
        <v>-37952245.02</v>
      </c>
      <c r="H51" s="486" t="s"/>
    </row>
    <row r="52" spans="1:8">
      <c r="A52" s="497">
        <v>45817</v>
      </c>
      <c r="B52" s="498">
        <v>10072175</v>
      </c>
      <c r="C52" s="498" t="s">
        <v>209</v>
      </c>
      <c r="D52" s="498" t="s">
        <v>209</v>
      </c>
      <c r="E52" s="505" t="s">
        <v>209</v>
      </c>
      <c r="F52" s="500">
        <f>SUM(B52:E52)</f>
        <v>10072175</v>
      </c>
      <c r="G52" s="501">
        <f>G51+F52</f>
        <v>-27880070.02</v>
      </c>
      <c r="H52" s="486" t="s"/>
    </row>
    <row r="53" spans="1:8">
      <c r="A53" s="497">
        <v>45818</v>
      </c>
      <c r="B53" s="498">
        <v>149998416.67</v>
      </c>
      <c r="C53" s="498">
        <v>-181807052.07</v>
      </c>
      <c r="D53" s="498" t="s">
        <v>209</v>
      </c>
      <c r="E53" s="505" t="s">
        <v>209</v>
      </c>
      <c r="F53" s="500">
        <f>SUM(B53:E53)</f>
        <v>-31808635.4</v>
      </c>
      <c r="G53" s="501">
        <f>G52+F53</f>
        <v>-59688705.42</v>
      </c>
      <c r="H53" s="486" t="s"/>
    </row>
    <row r="54" spans="1:8">
      <c r="A54" s="497">
        <v>45819</v>
      </c>
      <c r="B54" s="498">
        <v>50002222.22</v>
      </c>
      <c r="C54" s="498" t="s">
        <v>209</v>
      </c>
      <c r="D54" s="498">
        <v>-80000000</v>
      </c>
      <c r="E54" s="509" t="s">
        <v>2427</v>
      </c>
      <c r="F54" s="500">
        <f>SUM(B54:E54)</f>
        <v>-29997777.78</v>
      </c>
      <c r="G54" s="501">
        <f>G53+F54</f>
        <v>-89686483.2</v>
      </c>
      <c r="H54" s="486" t="s"/>
    </row>
    <row r="55" spans="1:8">
      <c r="A55" s="497">
        <v>45820</v>
      </c>
      <c r="B55" s="498">
        <v>-44010.01</v>
      </c>
      <c r="C55" s="498">
        <v>8001573.7</v>
      </c>
      <c r="D55" s="498">
        <v>10000000</v>
      </c>
      <c r="E55" s="506" t="s">
        <v>2428</v>
      </c>
      <c r="F55" s="500">
        <f>SUM(B55:E55)</f>
        <v>17957563.69</v>
      </c>
      <c r="G55" s="501">
        <f>G54+F55</f>
        <v>-71728919.51</v>
      </c>
      <c r="H55" s="486" t="s"/>
    </row>
    <row r="56" spans="1:8">
      <c r="A56" s="497">
        <v>45821</v>
      </c>
      <c r="B56" s="498">
        <v>-50051810</v>
      </c>
      <c r="C56" s="498">
        <v>-8007612.05</v>
      </c>
      <c r="D56" s="498">
        <v>82000000</v>
      </c>
      <c r="E56" s="506" t="s">
        <v>2429</v>
      </c>
      <c r="F56" s="500">
        <f>SUM(B56:E56)</f>
        <v>23940577.95</v>
      </c>
      <c r="G56" s="501">
        <f>G55+F56</f>
        <v>-47788341.56</v>
      </c>
      <c r="H56" s="486" t="s"/>
    </row>
    <row r="57" spans="1:8">
      <c r="A57" s="497">
        <v>45822</v>
      </c>
      <c r="B57" s="498" t="s">
        <v>209</v>
      </c>
      <c r="C57" s="498" t="s">
        <v>209</v>
      </c>
      <c r="D57" s="498" t="s">
        <v>209</v>
      </c>
      <c r="E57" s="505" t="s">
        <v>209</v>
      </c>
      <c r="F57" s="500">
        <f>SUM(B57:E57)</f>
        <v>0</v>
      </c>
      <c r="G57" s="501">
        <f>G56+F57</f>
        <v>-47788341.56</v>
      </c>
      <c r="H57" s="486" t="s"/>
    </row>
    <row r="58" spans="1:8">
      <c r="A58" s="497">
        <v>45823</v>
      </c>
      <c r="B58" s="498" t="s">
        <v>209</v>
      </c>
      <c r="C58" s="498" t="s">
        <v>209</v>
      </c>
      <c r="D58" s="498" t="s">
        <v>209</v>
      </c>
      <c r="E58" s="505" t="s">
        <v>209</v>
      </c>
      <c r="F58" s="500">
        <f>SUM(B58:E58)</f>
        <v>0</v>
      </c>
      <c r="G58" s="501">
        <f>G57+F58</f>
        <v>-47788341.56</v>
      </c>
      <c r="H58" s="486" t="s"/>
    </row>
    <row r="59" spans="1:8">
      <c r="A59" s="497">
        <v>45824</v>
      </c>
      <c r="B59" s="498">
        <v>-49885816.67</v>
      </c>
      <c r="C59" s="498" t="s">
        <v>209</v>
      </c>
      <c r="D59" s="498">
        <v>-10000000</v>
      </c>
      <c r="E59" s="506" t="s">
        <v>2430</v>
      </c>
      <c r="F59" s="500">
        <f>SUM(B59:E59)</f>
        <v>-59885816.67</v>
      </c>
      <c r="G59" s="501">
        <f>G58+F59</f>
        <v>-107674158.23</v>
      </c>
      <c r="H59" s="486" t="s"/>
    </row>
    <row r="60" spans="1:8">
      <c r="A60" s="497">
        <v>45825</v>
      </c>
      <c r="B60" s="498">
        <v>6583.33</v>
      </c>
      <c r="C60" s="498" t="s">
        <v>209</v>
      </c>
      <c r="D60" s="498" t="s">
        <v>209</v>
      </c>
      <c r="E60" s="506" t="s">
        <v>2431</v>
      </c>
      <c r="F60" s="500">
        <f>SUM(B60:E60)</f>
        <v>6583.33</v>
      </c>
      <c r="G60" s="501">
        <f>G59+F60</f>
        <v>-107667574.9</v>
      </c>
      <c r="H60" s="486" t="s"/>
    </row>
    <row r="61" spans="1:8">
      <c r="A61" s="497">
        <v>45826</v>
      </c>
      <c r="B61" s="498">
        <v>-39868786.26</v>
      </c>
      <c r="C61" s="498" t="s">
        <v>209</v>
      </c>
      <c r="D61" s="498">
        <v>30000000</v>
      </c>
      <c r="E61" s="506" t="s">
        <v>2432</v>
      </c>
      <c r="F61" s="500">
        <f>SUM(B61:E61)</f>
        <v>-9868786.26</v>
      </c>
      <c r="G61" s="501">
        <f>G60+F61</f>
        <v>-117536361.16</v>
      </c>
      <c r="H61" s="486" t="s"/>
    </row>
    <row r="62" spans="1:8">
      <c r="A62" s="497">
        <v>45827</v>
      </c>
      <c r="B62" s="498">
        <v>8777.78</v>
      </c>
      <c r="C62" s="498" t="s">
        <v>209</v>
      </c>
      <c r="D62" s="498">
        <v>30000000</v>
      </c>
      <c r="E62" s="509" t="s">
        <v>2433</v>
      </c>
      <c r="F62" s="500">
        <f>SUM(B62:E62)</f>
        <v>30008777.78</v>
      </c>
      <c r="G62" s="501">
        <f>G61+F62</f>
        <v>-87527583.38</v>
      </c>
      <c r="H62" s="486" t="s"/>
    </row>
    <row r="63" spans="1:8">
      <c r="A63" s="497">
        <v>45828</v>
      </c>
      <c r="B63" s="498">
        <v>-3942.21</v>
      </c>
      <c r="C63" s="498">
        <v>-20047439.73</v>
      </c>
      <c r="D63" s="498">
        <v>-10000000</v>
      </c>
      <c r="E63" s="506" t="s">
        <v>2424</v>
      </c>
      <c r="F63" s="500">
        <f>SUM(B63:E63)</f>
        <v>-30051381.94</v>
      </c>
      <c r="G63" s="501">
        <f>G62+F63</f>
        <v>-117578965.32</v>
      </c>
      <c r="H63" s="486" t="s"/>
    </row>
    <row r="64" spans="1:8">
      <c r="A64" s="497">
        <v>45829</v>
      </c>
      <c r="B64" s="498" t="s">
        <v>209</v>
      </c>
      <c r="C64" s="498" t="s">
        <v>209</v>
      </c>
      <c r="D64" s="498" t="s">
        <v>209</v>
      </c>
      <c r="E64" s="505" t="s">
        <v>209</v>
      </c>
      <c r="F64" s="500">
        <f>SUM(B64:E64)</f>
        <v>0</v>
      </c>
      <c r="G64" s="501">
        <f>G63+F64</f>
        <v>-117578965.32</v>
      </c>
      <c r="H64" s="486" t="s"/>
    </row>
    <row r="65" spans="1:8">
      <c r="A65" s="497">
        <v>45830</v>
      </c>
      <c r="B65" s="498" t="s">
        <v>209</v>
      </c>
      <c r="C65" s="498" t="s">
        <v>209</v>
      </c>
      <c r="D65" s="498" t="s">
        <v>209</v>
      </c>
      <c r="E65" s="505" t="s">
        <v>209</v>
      </c>
      <c r="F65" s="500">
        <f>SUM(B65:E65)</f>
        <v>0</v>
      </c>
      <c r="G65" s="501">
        <f>G64+F65</f>
        <v>-117578965.32</v>
      </c>
      <c r="H65" s="486" t="s"/>
    </row>
    <row r="66" spans="1:8">
      <c r="A66" s="497">
        <v>45831</v>
      </c>
      <c r="B66" s="498">
        <v>80119096.1</v>
      </c>
      <c r="C66" s="498" t="s">
        <v>209</v>
      </c>
      <c r="D66" s="498">
        <v>-11000000</v>
      </c>
      <c r="E66" s="506" t="s">
        <v>2434</v>
      </c>
      <c r="F66" s="500">
        <f>SUM(B66:E66)</f>
        <v>69119096.1</v>
      </c>
      <c r="G66" s="501">
        <f>G65+F66</f>
        <v>-48459869.22</v>
      </c>
      <c r="H66" s="486" t="s"/>
    </row>
    <row r="67" spans="1:8" ht="42.75" customHeight="1">
      <c r="A67" s="497">
        <v>45832</v>
      </c>
      <c r="B67" s="498">
        <v>618.88</v>
      </c>
      <c r="C67" s="498" t="s">
        <v>209</v>
      </c>
      <c r="D67" s="498">
        <v>-52000000</v>
      </c>
      <c r="E67" s="506" t="s">
        <v>800</v>
      </c>
      <c r="F67" s="500">
        <f>SUM(B67:E67)</f>
        <v>-51999381.12</v>
      </c>
      <c r="G67" s="501">
        <f>G66+F67</f>
        <v>-100459250.34</v>
      </c>
      <c r="H67" s="486" t="s"/>
    </row>
    <row r="68" spans="1:8">
      <c r="A68" s="497">
        <v>45833</v>
      </c>
      <c r="B68" s="498">
        <v>98798785.45</v>
      </c>
      <c r="C68" s="498">
        <v>-801000</v>
      </c>
      <c r="D68" s="498" t="s">
        <v>209</v>
      </c>
      <c r="E68" s="505" t="s">
        <v>209</v>
      </c>
      <c r="F68" s="500">
        <f>SUM(B68:E68)</f>
        <v>97997785.45</v>
      </c>
      <c r="G68" s="501">
        <f>G67+F68</f>
        <v>-2461464.89000003</v>
      </c>
      <c r="H68" s="486" t="s"/>
    </row>
    <row r="69" spans="1:8">
      <c r="A69" s="497">
        <v>45834</v>
      </c>
      <c r="B69" s="498">
        <v>53256798.7</v>
      </c>
      <c r="C69" s="498">
        <v>-10020298.63</v>
      </c>
      <c r="D69" s="498">
        <v>-20000000</v>
      </c>
      <c r="E69" s="506" t="s">
        <v>2435</v>
      </c>
      <c r="F69" s="500">
        <f>SUM(B69:E69)</f>
        <v>23236500.07</v>
      </c>
      <c r="G69" s="501">
        <f>G68+F69</f>
        <v>20775035.18</v>
      </c>
      <c r="H69" s="486" t="s"/>
    </row>
    <row r="70" spans="1:8">
      <c r="A70" s="497">
        <v>45835</v>
      </c>
      <c r="B70" s="498">
        <v>483268108.28</v>
      </c>
      <c r="C70" s="498" t="s">
        <v>209</v>
      </c>
      <c r="D70" s="498">
        <v>43000000</v>
      </c>
      <c r="E70" s="506" t="s">
        <v>2436</v>
      </c>
      <c r="F70" s="500">
        <f>SUM(B70:E70)</f>
        <v>526268108.28</v>
      </c>
      <c r="G70" s="501">
        <f>G69+F70</f>
        <v>547043143.46</v>
      </c>
      <c r="H70" s="486" t="s"/>
    </row>
    <row r="71" spans="1:8">
      <c r="A71" s="497">
        <v>45836</v>
      </c>
      <c r="B71" s="498" t="s">
        <v>209</v>
      </c>
      <c r="C71" s="498" t="s">
        <v>209</v>
      </c>
      <c r="D71" s="498" t="s">
        <v>209</v>
      </c>
      <c r="E71" s="505" t="s">
        <v>209</v>
      </c>
      <c r="F71" s="500">
        <f>SUM(B71:E71)</f>
        <v>0</v>
      </c>
      <c r="G71" s="501">
        <f>G70+F71</f>
        <v>547043143.46</v>
      </c>
      <c r="H71" s="486" t="s"/>
    </row>
    <row r="72" spans="1:8">
      <c r="A72" s="497">
        <v>45837</v>
      </c>
      <c r="B72" s="498" t="s">
        <v>209</v>
      </c>
      <c r="C72" s="498" t="s">
        <v>209</v>
      </c>
      <c r="D72" s="498" t="s">
        <v>209</v>
      </c>
      <c r="E72" s="505" t="s">
        <v>209</v>
      </c>
      <c r="F72" s="500">
        <f>SUM(B72:E72)</f>
        <v>0</v>
      </c>
      <c r="G72" s="501">
        <f>G71+F72</f>
        <v>547043143.46</v>
      </c>
      <c r="H72" s="486" t="s"/>
    </row>
    <row r="73" spans="1:8">
      <c r="A73" s="497">
        <v>45838</v>
      </c>
      <c r="B73" s="498">
        <v>30870085.35</v>
      </c>
      <c r="C73" s="498" t="s">
        <v>209</v>
      </c>
      <c r="D73" s="498">
        <v>10000000</v>
      </c>
      <c r="E73" s="506" t="s">
        <v>2437</v>
      </c>
      <c r="F73" s="500">
        <f>SUM(B73:E73)</f>
        <v>40870085.35</v>
      </c>
      <c r="G73" s="501">
        <f>G72+F73</f>
        <v>587913228.81</v>
      </c>
      <c r="H73" s="486" t="s"/>
    </row>
    <row r="74" spans="1:8">
      <c r="A74" s="497">
        <v>45839</v>
      </c>
      <c r="B74" s="498">
        <v>-479835020.68</v>
      </c>
      <c r="C74" s="498" t="s">
        <v>209</v>
      </c>
      <c r="D74" s="498">
        <v>75000000</v>
      </c>
      <c r="E74" s="506" t="s">
        <v>2438</v>
      </c>
      <c r="F74" s="500">
        <f>SUM(B74:E74)</f>
        <v>-404835020.68</v>
      </c>
      <c r="G74" s="501">
        <f>G73+F74</f>
        <v>183078208.13</v>
      </c>
      <c r="H74" s="486" t="s"/>
    </row>
    <row r="75" spans="1:8">
      <c r="A75" s="497">
        <v>45840</v>
      </c>
      <c r="B75" s="498">
        <v>-2146307.63</v>
      </c>
      <c r="C75" s="498">
        <v>20016930.13</v>
      </c>
      <c r="D75" s="498">
        <v>-20000000</v>
      </c>
      <c r="E75" s="506" t="s">
        <v>2439</v>
      </c>
      <c r="F75" s="500">
        <f>SUM(B75:E75)</f>
        <v>-2129377.5</v>
      </c>
      <c r="G75" s="501">
        <f>G74+F75</f>
        <v>180948830.63</v>
      </c>
      <c r="H75" s="486" t="s"/>
    </row>
    <row r="76" spans="1:8">
      <c r="A76" s="497">
        <v>45841</v>
      </c>
      <c r="B76" s="498">
        <v>-10316508.62</v>
      </c>
      <c r="C76" s="498">
        <v>-20018649.32</v>
      </c>
      <c r="D76" s="498" t="s">
        <v>213</v>
      </c>
      <c r="E76" s="509" t="s">
        <v>2440</v>
      </c>
      <c r="F76" s="500">
        <f>SUM(B76:E76)</f>
        <v>-30335157.94</v>
      </c>
      <c r="G76" s="501">
        <f>G75+F76</f>
        <v>150613672.69</v>
      </c>
      <c r="H76" s="486" t="s"/>
    </row>
    <row r="77" spans="1:8">
      <c r="A77" s="497">
        <v>45842</v>
      </c>
      <c r="B77" s="498">
        <v>3419134</v>
      </c>
      <c r="C77" s="498" t="s">
        <v>209</v>
      </c>
      <c r="D77" s="498" t="s">
        <v>213</v>
      </c>
      <c r="E77" s="509" t="s">
        <v>2441</v>
      </c>
      <c r="F77" s="500">
        <f>SUM(B77:E77)</f>
        <v>3419134</v>
      </c>
      <c r="G77" s="501">
        <f>G76+F77</f>
        <v>154032806.69</v>
      </c>
      <c r="H77" s="486" t="s"/>
    </row>
    <row r="78" spans="1:8">
      <c r="A78" s="497">
        <v>45843</v>
      </c>
      <c r="B78" s="498" t="s">
        <v>209</v>
      </c>
      <c r="C78" s="498" t="s">
        <v>209</v>
      </c>
      <c r="D78" s="498" t="s">
        <v>209</v>
      </c>
      <c r="E78" s="505" t="s">
        <v>209</v>
      </c>
      <c r="F78" s="500">
        <f>SUM(B78:E78)</f>
        <v>0</v>
      </c>
      <c r="G78" s="501">
        <f>G77+F78</f>
        <v>154032806.69</v>
      </c>
      <c r="H78" s="486" t="s"/>
    </row>
    <row r="79" spans="1:8">
      <c r="A79" s="497">
        <v>45844</v>
      </c>
      <c r="B79" s="498" t="s">
        <v>209</v>
      </c>
      <c r="C79" s="498" t="s">
        <v>209</v>
      </c>
      <c r="D79" s="498" t="s">
        <v>209</v>
      </c>
      <c r="E79" s="505" t="s">
        <v>209</v>
      </c>
      <c r="F79" s="500">
        <f>SUM(B79:E79)</f>
        <v>0</v>
      </c>
      <c r="G79" s="501">
        <f>G78+F79</f>
        <v>154032806.69</v>
      </c>
      <c r="H79" s="486" t="s"/>
    </row>
    <row r="80" spans="1:8">
      <c r="A80" s="497">
        <v>45845</v>
      </c>
      <c r="B80" s="498">
        <v>300040406.68</v>
      </c>
      <c r="C80" s="498" t="s">
        <v>209</v>
      </c>
      <c r="D80" s="498">
        <v>-30000000</v>
      </c>
      <c r="E80" s="506" t="s">
        <v>2442</v>
      </c>
      <c r="F80" s="500">
        <f>SUM(B80:E80)</f>
        <v>270040406.68</v>
      </c>
      <c r="G80" s="501">
        <f>G79+F80</f>
        <v>424073213.37</v>
      </c>
      <c r="H80" s="486" t="s"/>
    </row>
    <row r="81" spans="1:8">
      <c r="A81" s="497">
        <v>45846</v>
      </c>
      <c r="B81" s="498">
        <v>-150423513.02</v>
      </c>
      <c r="C81" s="498" t="s">
        <v>209</v>
      </c>
      <c r="D81" s="498" t="s">
        <v>213</v>
      </c>
      <c r="E81" s="509" t="s">
        <v>2443</v>
      </c>
      <c r="F81" s="500">
        <f>SUM(B81:E81)</f>
        <v>-150423513.02</v>
      </c>
      <c r="G81" s="501">
        <f>G80+F81</f>
        <v>273649700.35</v>
      </c>
      <c r="H81" s="486" t="s"/>
    </row>
    <row r="82" spans="1:8">
      <c r="A82" s="497">
        <v>45847</v>
      </c>
      <c r="B82" s="498">
        <v>41857771.23</v>
      </c>
      <c r="C82" s="498" t="s">
        <v>209</v>
      </c>
      <c r="D82" s="498">
        <v>-10000000</v>
      </c>
      <c r="E82" s="506" t="s">
        <v>2444</v>
      </c>
      <c r="F82" s="500">
        <f>SUM(B82:E82)</f>
        <v>31857771.23</v>
      </c>
      <c r="G82" s="501">
        <f>G81+F82</f>
        <v>305507471.58</v>
      </c>
      <c r="H82" s="486" t="s"/>
    </row>
    <row r="83" spans="1:8">
      <c r="A83" s="497">
        <v>45848</v>
      </c>
      <c r="B83" s="498">
        <v>-1332844.85</v>
      </c>
      <c r="C83" s="498" t="s">
        <v>209</v>
      </c>
      <c r="D83" s="498">
        <v>-80000000</v>
      </c>
      <c r="E83" s="509" t="s">
        <v>2445</v>
      </c>
      <c r="F83" s="500">
        <f>SUM(B83:E83)</f>
        <v>-81332844.85</v>
      </c>
      <c r="G83" s="501">
        <f>G82+F83</f>
        <v>224174626.73</v>
      </c>
      <c r="H83" s="486" t="s"/>
    </row>
    <row r="84" spans="1:8">
      <c r="A84" s="497">
        <v>45849</v>
      </c>
      <c r="B84" s="498">
        <v>189126977.4</v>
      </c>
      <c r="C84" s="498">
        <v>-10004487.67</v>
      </c>
      <c r="D84" s="498" t="s">
        <v>213</v>
      </c>
      <c r="E84" s="506" t="s">
        <v>2446</v>
      </c>
      <c r="F84" s="500">
        <f>SUM(B84:E84)</f>
        <v>179122489.73</v>
      </c>
      <c r="G84" s="501">
        <f>G83+F84</f>
        <v>403297116.46</v>
      </c>
      <c r="H84" s="486" t="s"/>
    </row>
    <row r="85" spans="1:8">
      <c r="A85" s="497">
        <v>45850</v>
      </c>
      <c r="B85" s="498" t="s">
        <v>209</v>
      </c>
      <c r="C85" s="498" t="s">
        <v>209</v>
      </c>
      <c r="D85" s="498" t="s">
        <v>209</v>
      </c>
      <c r="E85" s="505" t="s">
        <v>209</v>
      </c>
      <c r="F85" s="500">
        <f>SUM(B85:E85)</f>
        <v>0</v>
      </c>
      <c r="G85" s="501">
        <f>G84+F85</f>
        <v>403297116.46</v>
      </c>
      <c r="H85" s="486" t="s"/>
    </row>
    <row r="86" spans="1:8">
      <c r="A86" s="497">
        <v>45851</v>
      </c>
      <c r="B86" s="498" t="s">
        <v>209</v>
      </c>
      <c r="C86" s="498" t="s">
        <v>209</v>
      </c>
      <c r="D86" s="498" t="s">
        <v>209</v>
      </c>
      <c r="E86" s="505" t="s">
        <v>209</v>
      </c>
      <c r="F86" s="500">
        <f>SUM(B86:E86)</f>
        <v>0</v>
      </c>
      <c r="G86" s="501">
        <f>G85+F86</f>
        <v>403297116.46</v>
      </c>
      <c r="H86" s="486" t="s"/>
    </row>
    <row r="87" spans="1:8">
      <c r="A87" s="497">
        <v>45852</v>
      </c>
      <c r="B87" s="498">
        <v>60123666.66</v>
      </c>
      <c r="C87" s="498" t="s">
        <v>209</v>
      </c>
      <c r="D87" s="498">
        <v>-55000000</v>
      </c>
      <c r="E87" s="506" t="s">
        <v>2447</v>
      </c>
      <c r="F87" s="500">
        <f>SUM(B87:E87)</f>
        <v>5123666.66</v>
      </c>
      <c r="G87" s="501">
        <f>G86+F87</f>
        <v>408420783.12</v>
      </c>
      <c r="H87" s="486" t="s"/>
    </row>
    <row r="88" spans="1:8">
      <c r="A88" s="497">
        <v>45853</v>
      </c>
      <c r="B88" s="498">
        <v>124967476.71</v>
      </c>
      <c r="C88" s="498" t="s">
        <v>209</v>
      </c>
      <c r="D88" s="498">
        <v>-10000000</v>
      </c>
      <c r="E88" s="506" t="s">
        <v>2448</v>
      </c>
      <c r="F88" s="500">
        <f>SUM(B88:E88)</f>
        <v>114967476.71</v>
      </c>
      <c r="G88" s="501">
        <f>G87+F88</f>
        <v>523388259.83</v>
      </c>
      <c r="H88" s="486" t="s"/>
    </row>
    <row r="89" spans="1:8">
      <c r="A89" s="497">
        <v>45854</v>
      </c>
      <c r="B89" s="498" t="s">
        <v>213</v>
      </c>
      <c r="C89" s="498">
        <v>-20000</v>
      </c>
      <c r="D89" s="498" t="s">
        <v>213</v>
      </c>
      <c r="E89" s="506" t="s">
        <v>2449</v>
      </c>
      <c r="F89" s="500">
        <f>SUM(B89:E89)</f>
        <v>-20000</v>
      </c>
      <c r="G89" s="501">
        <f>G88+F89</f>
        <v>523368259.83</v>
      </c>
      <c r="H89" s="486" t="s"/>
    </row>
    <row r="90" spans="1:8">
      <c r="A90" s="497">
        <v>45855</v>
      </c>
      <c r="B90" s="498">
        <v>-69979890.96</v>
      </c>
      <c r="C90" s="498">
        <v>-220086432.88</v>
      </c>
      <c r="D90" s="498">
        <v>20000000</v>
      </c>
      <c r="E90" s="506" t="s">
        <v>2450</v>
      </c>
      <c r="F90" s="500">
        <f>SUM(B90:E90)</f>
        <v>-270066323.84</v>
      </c>
      <c r="G90" s="501">
        <f>G89+F90</f>
        <v>253301935.99</v>
      </c>
      <c r="H90" s="486" t="s"/>
    </row>
    <row r="91" spans="1:8">
      <c r="A91" s="497">
        <v>45856</v>
      </c>
      <c r="B91" s="498">
        <v>37912143.15</v>
      </c>
      <c r="C91" s="498">
        <v>-31500</v>
      </c>
      <c r="D91" s="507">
        <v>-81677388.5</v>
      </c>
      <c r="E91" s="510" t="s">
        <v>2451</v>
      </c>
      <c r="F91" s="500">
        <f>SUM(B91:E91)</f>
        <v>-43796745.35</v>
      </c>
      <c r="G91" s="501">
        <f>G90+F91</f>
        <v>209505190.64</v>
      </c>
      <c r="H91" s="486" t="s"/>
    </row>
    <row r="92" spans="1:8">
      <c r="A92" s="497">
        <v>45857</v>
      </c>
      <c r="B92" s="498" t="s">
        <v>209</v>
      </c>
      <c r="C92" s="498" t="s">
        <v>209</v>
      </c>
      <c r="D92" s="498" t="s">
        <v>209</v>
      </c>
      <c r="E92" s="505" t="s">
        <v>209</v>
      </c>
      <c r="F92" s="500">
        <f>SUM(B92:E92)</f>
        <v>0</v>
      </c>
      <c r="G92" s="501">
        <f>G91+F92</f>
        <v>209505190.64</v>
      </c>
      <c r="H92" s="486" t="s"/>
    </row>
    <row r="93" spans="1:8">
      <c r="A93" s="497">
        <v>45858</v>
      </c>
      <c r="B93" s="498" t="s">
        <v>209</v>
      </c>
      <c r="C93" s="498" t="s">
        <v>209</v>
      </c>
      <c r="D93" s="498" t="s">
        <v>209</v>
      </c>
      <c r="E93" s="505" t="s">
        <v>209</v>
      </c>
      <c r="F93" s="500">
        <f>SUM(B93:E93)</f>
        <v>0</v>
      </c>
      <c r="G93" s="501">
        <f>G92+F93</f>
        <v>209505190.64</v>
      </c>
      <c r="H93" s="486" t="s"/>
    </row>
    <row r="94" spans="1:8">
      <c r="A94" s="497">
        <v>45859</v>
      </c>
      <c r="B94" s="511">
        <v>68483753.25</v>
      </c>
      <c r="C94" s="498">
        <v>20286165.47</v>
      </c>
      <c r="D94" s="498" t="s">
        <v>209</v>
      </c>
      <c r="E94" s="505" t="s">
        <v>209</v>
      </c>
      <c r="F94" s="500">
        <f>SUM(B94:E94)</f>
        <v>88769918.72</v>
      </c>
      <c r="G94" s="501">
        <f>G93+F94</f>
        <v>298275109.36</v>
      </c>
      <c r="H94" s="486" t="s"/>
    </row>
    <row r="95" spans="1:8">
      <c r="A95" s="497">
        <v>45860</v>
      </c>
      <c r="B95" s="498">
        <v>10172062.33</v>
      </c>
      <c r="C95" s="498">
        <v>421499939.46</v>
      </c>
      <c r="D95" s="498">
        <v>80000000</v>
      </c>
      <c r="E95" s="506" t="s">
        <v>2452</v>
      </c>
      <c r="F95" s="500">
        <f>SUM(B95:E95)</f>
        <v>511672001.79</v>
      </c>
      <c r="G95" s="501">
        <f>G94+F95</f>
        <v>809947111.15</v>
      </c>
      <c r="H95" s="486" t="s"/>
    </row>
    <row r="96" spans="1:8">
      <c r="A96" s="497">
        <v>45861</v>
      </c>
      <c r="B96" s="498">
        <v>-44100</v>
      </c>
      <c r="C96" s="498">
        <v>-70673937</v>
      </c>
      <c r="D96" s="498">
        <v>72000000</v>
      </c>
      <c r="E96" s="506" t="s">
        <v>2453</v>
      </c>
      <c r="F96" s="500">
        <f>SUM(B96:E96)</f>
        <v>1281963</v>
      </c>
      <c r="G96" s="501">
        <f>G95+F96</f>
        <v>811229074.15</v>
      </c>
      <c r="H96" s="486" t="s"/>
    </row>
    <row r="97" spans="1:8">
      <c r="A97" s="497">
        <v>45862</v>
      </c>
      <c r="B97" s="498" t="s">
        <v>213</v>
      </c>
      <c r="C97" s="498">
        <v>-800</v>
      </c>
      <c r="D97" s="498">
        <v>10000000</v>
      </c>
      <c r="E97" s="506" t="s">
        <v>2428</v>
      </c>
      <c r="F97" s="500">
        <f>SUM(B97:E97)</f>
        <v>9999200</v>
      </c>
      <c r="G97" s="501">
        <f>G96+F97</f>
        <v>821228274.15</v>
      </c>
      <c r="H97" s="486" t="s"/>
    </row>
    <row r="98" spans="1:8">
      <c r="A98" s="497">
        <v>45863</v>
      </c>
      <c r="B98" s="498">
        <v>-55314210.83</v>
      </c>
      <c r="C98" s="498">
        <v>-390956387.41</v>
      </c>
      <c r="D98" s="498" t="s">
        <v>213</v>
      </c>
      <c r="E98" s="506" t="s">
        <v>2454</v>
      </c>
      <c r="F98" s="500">
        <f>SUM(B98:E98)</f>
        <v>-446270598.24</v>
      </c>
      <c r="G98" s="501">
        <f>G97+F98</f>
        <v>374957675.91</v>
      </c>
      <c r="H98" s="486" t="s"/>
    </row>
    <row r="99" spans="1:8">
      <c r="A99" s="497">
        <v>45864</v>
      </c>
      <c r="B99" s="498" t="s">
        <v>209</v>
      </c>
      <c r="C99" s="498" t="s">
        <v>209</v>
      </c>
      <c r="D99" s="498" t="s">
        <v>209</v>
      </c>
      <c r="E99" s="505" t="s">
        <v>209</v>
      </c>
      <c r="F99" s="500">
        <f>SUM(B99:E99)</f>
        <v>0</v>
      </c>
      <c r="G99" s="501">
        <f>G98+F99</f>
        <v>374957675.91</v>
      </c>
      <c r="H99" s="486" t="s"/>
    </row>
    <row r="100" spans="1:8">
      <c r="A100" s="497">
        <v>45865</v>
      </c>
      <c r="B100" s="498" t="s">
        <v>209</v>
      </c>
      <c r="C100" s="498" t="s">
        <v>209</v>
      </c>
      <c r="D100" s="498" t="s">
        <v>209</v>
      </c>
      <c r="E100" s="505" t="s">
        <v>209</v>
      </c>
      <c r="F100" s="500">
        <f>SUM(B100:E100)</f>
        <v>0</v>
      </c>
      <c r="G100" s="501">
        <f>G99+F100</f>
        <v>374957675.91</v>
      </c>
      <c r="H100" s="486" t="s"/>
    </row>
    <row r="101" spans="1:8">
      <c r="A101" s="497">
        <v>45866</v>
      </c>
      <c r="B101" s="498">
        <v>-349706644.44</v>
      </c>
      <c r="C101" s="498">
        <v>-72889260.28</v>
      </c>
      <c r="D101" s="498">
        <v>-10000000</v>
      </c>
      <c r="E101" s="509" t="s">
        <v>801</v>
      </c>
      <c r="F101" s="500">
        <f>SUM(B101:E101)</f>
        <v>-432595904.72</v>
      </c>
      <c r="G101" s="501">
        <f>G100+F101</f>
        <v>-57638228.8100002</v>
      </c>
      <c r="H101" s="486" t="s"/>
    </row>
    <row r="102" spans="1:8">
      <c r="A102" s="497">
        <v>45867</v>
      </c>
      <c r="B102" s="498">
        <v>79785256.17</v>
      </c>
      <c r="C102" s="498">
        <v>15842742.46</v>
      </c>
      <c r="D102" s="498">
        <v>10000000</v>
      </c>
      <c r="E102" s="506" t="s">
        <v>2455</v>
      </c>
      <c r="F102" s="500">
        <f>SUM(B102:E102)</f>
        <v>105627998.63</v>
      </c>
      <c r="G102" s="501">
        <f>G101+F102</f>
        <v>47989769.8199998</v>
      </c>
      <c r="H102" s="486" t="s"/>
    </row>
    <row r="103" spans="1:8">
      <c r="A103" s="497">
        <v>45868</v>
      </c>
      <c r="B103" s="498">
        <v>710017940.22</v>
      </c>
      <c r="C103" s="498">
        <v>-41084855.34</v>
      </c>
      <c r="D103" s="498">
        <v>40000000</v>
      </c>
      <c r="E103" s="506" t="s">
        <v>2456</v>
      </c>
      <c r="F103" s="500">
        <f>SUM(B103:E103)</f>
        <v>708933084.88</v>
      </c>
      <c r="G103" s="501">
        <f>G102+F103</f>
        <v>756922854.7</v>
      </c>
      <c r="H103" s="486" t="s"/>
    </row>
    <row r="104" spans="1:8">
      <c r="A104" s="497">
        <v>45869</v>
      </c>
      <c r="B104" s="498">
        <v>-20314640.68</v>
      </c>
      <c r="C104" s="498" t="s">
        <v>209</v>
      </c>
      <c r="D104" s="498">
        <v>-50000000</v>
      </c>
      <c r="E104" s="509" t="s">
        <v>2457</v>
      </c>
      <c r="F104" s="500">
        <f>SUM(B104:E104)</f>
        <v>-70314640.68</v>
      </c>
      <c r="G104" s="501">
        <f>G103+F104</f>
        <v>686608214.02</v>
      </c>
      <c r="H104" s="486" t="s"/>
    </row>
    <row r="105" spans="1:8">
      <c r="A105" s="497">
        <v>45870</v>
      </c>
      <c r="B105" s="498">
        <v>159415898.6</v>
      </c>
      <c r="C105" s="512">
        <v>-10370000</v>
      </c>
      <c r="D105" s="513">
        <v>16000000</v>
      </c>
      <c r="E105" s="514" t="s">
        <v>802</v>
      </c>
      <c r="F105" s="500">
        <f>SUM(B105:E105)</f>
        <v>165045898.6</v>
      </c>
      <c r="G105" s="501">
        <f>G104+F105</f>
        <v>851654112.62</v>
      </c>
      <c r="H105" s="486" t="s"/>
    </row>
    <row r="106" spans="1:8">
      <c r="A106" s="497">
        <v>45871</v>
      </c>
      <c r="B106" s="498" t="s">
        <v>209</v>
      </c>
      <c r="C106" s="498" t="s">
        <v>209</v>
      </c>
      <c r="D106" s="498" t="s">
        <v>209</v>
      </c>
      <c r="E106" s="515" t="s">
        <v>209</v>
      </c>
      <c r="F106" s="500">
        <f>SUM(B106:E106)</f>
        <v>0</v>
      </c>
      <c r="G106" s="501">
        <f>G105+F106</f>
        <v>851654112.62</v>
      </c>
      <c r="H106" s="486" t="s"/>
    </row>
    <row r="107" spans="1:8">
      <c r="A107" s="497">
        <v>45872</v>
      </c>
      <c r="B107" s="498" t="s">
        <v>209</v>
      </c>
      <c r="C107" s="498" t="s">
        <v>209</v>
      </c>
      <c r="D107" s="498" t="s">
        <v>209</v>
      </c>
      <c r="E107" s="515" t="s">
        <v>209</v>
      </c>
      <c r="F107" s="500">
        <f>SUM(B107:E107)</f>
        <v>0</v>
      </c>
      <c r="G107" s="501">
        <f>G106+F107</f>
        <v>851654112.62</v>
      </c>
      <c r="H107" s="486" t="s"/>
    </row>
    <row r="108" spans="1:8">
      <c r="A108" s="497">
        <v>45873</v>
      </c>
      <c r="B108" s="498">
        <v>-110141243.47</v>
      </c>
      <c r="C108" s="498" t="s">
        <v>209</v>
      </c>
      <c r="D108" s="498">
        <v>-121000000</v>
      </c>
      <c r="E108" s="506" t="s">
        <v>803</v>
      </c>
      <c r="F108" s="500">
        <f>SUM(B108:E108)</f>
        <v>-231141243.47</v>
      </c>
      <c r="G108" s="501">
        <f>G107+F108</f>
        <v>620512869.15</v>
      </c>
      <c r="H108" s="486" t="s"/>
    </row>
    <row r="109" spans="1:8">
      <c r="A109" s="497">
        <v>45874</v>
      </c>
      <c r="B109" s="498">
        <v>-109688312.3</v>
      </c>
      <c r="C109" s="498" t="s">
        <v>209</v>
      </c>
      <c r="D109" s="498">
        <v>-55000000</v>
      </c>
      <c r="E109" s="506" t="s">
        <v>804</v>
      </c>
      <c r="F109" s="500">
        <f>SUM(B109:E109)</f>
        <v>-164688312.3</v>
      </c>
      <c r="G109" s="501">
        <f>G108+F109</f>
        <v>455824556.85</v>
      </c>
      <c r="H109" s="486" t="s"/>
    </row>
    <row r="110" spans="1:8">
      <c r="A110" s="497">
        <v>45875</v>
      </c>
      <c r="B110" s="498">
        <v>-428035740</v>
      </c>
      <c r="C110" s="498" t="s">
        <v>209</v>
      </c>
      <c r="D110" s="498">
        <v>225000000</v>
      </c>
      <c r="E110" s="506" t="s">
        <v>805</v>
      </c>
      <c r="F110" s="500">
        <f>SUM(B110:E110)</f>
        <v>-203035740</v>
      </c>
      <c r="G110" s="501">
        <f>G109+F110</f>
        <v>252788816.85</v>
      </c>
      <c r="H110" s="486" t="s"/>
    </row>
    <row r="111" spans="1:8">
      <c r="A111" s="497">
        <v>45876</v>
      </c>
      <c r="B111" s="498">
        <v>403578300</v>
      </c>
      <c r="C111" s="498" t="s">
        <v>209</v>
      </c>
      <c r="D111" s="498">
        <v>-190000000</v>
      </c>
      <c r="E111" s="506" t="s">
        <v>806</v>
      </c>
      <c r="F111" s="500">
        <f>SUM(B111:E111)</f>
        <v>213578300</v>
      </c>
      <c r="G111" s="501">
        <f>G110+F111</f>
        <v>466367116.85</v>
      </c>
      <c r="H111" s="486" t="s"/>
    </row>
    <row r="112" spans="1:8">
      <c r="A112" s="497">
        <v>45877</v>
      </c>
      <c r="B112" s="498">
        <v>-156449426.35</v>
      </c>
      <c r="C112" s="516">
        <v>-103700</v>
      </c>
      <c r="D112" s="498" t="s">
        <v>209</v>
      </c>
      <c r="E112" s="515" t="s">
        <v>209</v>
      </c>
      <c r="F112" s="500">
        <f>SUM(B112:E112)</f>
        <v>-156553126.35</v>
      </c>
      <c r="G112" s="501">
        <f>G111+F112</f>
        <v>309813990.5</v>
      </c>
      <c r="H112" s="486" t="s"/>
    </row>
    <row r="113" spans="1:8">
      <c r="A113" s="497">
        <v>45878</v>
      </c>
      <c r="B113" s="498" t="s">
        <v>209</v>
      </c>
      <c r="C113" s="516" t="s">
        <v>209</v>
      </c>
      <c r="D113" s="498" t="s">
        <v>209</v>
      </c>
      <c r="E113" s="515" t="s">
        <v>209</v>
      </c>
      <c r="F113" s="500">
        <f>SUM(B113:E113)</f>
        <v>0</v>
      </c>
      <c r="G113" s="501">
        <f>G112+F113</f>
        <v>309813990.5</v>
      </c>
      <c r="H113" s="486" t="s"/>
    </row>
    <row r="114" spans="1:8">
      <c r="A114" s="497">
        <v>45879</v>
      </c>
      <c r="B114" s="498" t="s">
        <v>209</v>
      </c>
      <c r="C114" s="516" t="s">
        <v>209</v>
      </c>
      <c r="D114" s="498" t="s">
        <v>209</v>
      </c>
      <c r="E114" s="515" t="s">
        <v>209</v>
      </c>
      <c r="F114" s="500">
        <f>SUM(B114:E114)</f>
        <v>0</v>
      </c>
      <c r="G114" s="501">
        <f>G113+F114</f>
        <v>309813990.5</v>
      </c>
      <c r="H114" s="486" t="s"/>
    </row>
    <row r="115" spans="1:8">
      <c r="A115" s="497">
        <v>45880</v>
      </c>
      <c r="B115" s="498">
        <v>2998410.13</v>
      </c>
      <c r="C115" s="516">
        <v>-134100</v>
      </c>
      <c r="D115" s="498">
        <v>-20000000</v>
      </c>
      <c r="E115" s="506" t="s">
        <v>807</v>
      </c>
      <c r="F115" s="500">
        <f>SUM(B115:E115)</f>
        <v>-17135689.87</v>
      </c>
      <c r="G115" s="501">
        <f>G114+F115</f>
        <v>292678300.63</v>
      </c>
      <c r="H115" s="486" t="s"/>
    </row>
    <row r="116" spans="1:8">
      <c r="A116" s="497">
        <v>45881</v>
      </c>
      <c r="B116" s="498">
        <v>420535617.81</v>
      </c>
      <c r="C116" s="516">
        <v>-10500</v>
      </c>
      <c r="D116" s="498">
        <v>-198000000</v>
      </c>
      <c r="E116" s="506" t="s">
        <v>808</v>
      </c>
      <c r="F116" s="500">
        <f>SUM(B116:E116)</f>
        <v>222525117.81</v>
      </c>
      <c r="G116" s="501">
        <f>G115+F116</f>
        <v>515203418.44</v>
      </c>
      <c r="H116" s="486" t="s"/>
    </row>
    <row r="117" spans="1:8">
      <c r="A117" s="497">
        <v>45882</v>
      </c>
      <c r="B117" s="498">
        <v>95335391.78</v>
      </c>
      <c r="C117" s="498">
        <v>10665264.38</v>
      </c>
      <c r="D117" s="498">
        <v>5000000</v>
      </c>
      <c r="E117" s="506" t="s">
        <v>809</v>
      </c>
      <c r="F117" s="500">
        <f>SUM(B117:E117)</f>
        <v>111000656.16</v>
      </c>
      <c r="G117" s="501">
        <f>G116+F117</f>
        <v>626204074.6</v>
      </c>
      <c r="H117" s="486" t="s"/>
    </row>
    <row r="118" spans="1:8">
      <c r="A118" s="497">
        <v>45883</v>
      </c>
      <c r="B118" s="498">
        <v>-93839377.31</v>
      </c>
      <c r="C118" s="498">
        <v>-18400</v>
      </c>
      <c r="D118" s="498">
        <v>-201000000</v>
      </c>
      <c r="E118" s="506" t="s">
        <v>810</v>
      </c>
      <c r="F118" s="500">
        <f>SUM(B118:E118)</f>
        <v>-294857777.31</v>
      </c>
      <c r="G118" s="501">
        <f>G117+F118</f>
        <v>331346297.29</v>
      </c>
      <c r="H118" s="486" t="s"/>
    </row>
    <row r="119" spans="1:8">
      <c r="A119" s="497">
        <v>45884</v>
      </c>
      <c r="B119" s="498">
        <v>196807633.14</v>
      </c>
      <c r="C119" s="498">
        <v>4259621.23</v>
      </c>
      <c r="D119" s="498" t="s">
        <v>209</v>
      </c>
      <c r="E119" s="515" t="s">
        <v>209</v>
      </c>
      <c r="F119" s="500">
        <f>SUM(B119:E119)</f>
        <v>201067254.37</v>
      </c>
      <c r="G119" s="501">
        <f>G118+F119</f>
        <v>532413551.66</v>
      </c>
      <c r="H119" s="486" t="s"/>
    </row>
    <row r="120" spans="1:8">
      <c r="A120" s="497">
        <v>45885</v>
      </c>
      <c r="B120" s="498" t="s">
        <v>209</v>
      </c>
      <c r="C120" s="498" t="s">
        <v>209</v>
      </c>
      <c r="D120" s="498" t="s">
        <v>209</v>
      </c>
      <c r="E120" s="515" t="s">
        <v>209</v>
      </c>
      <c r="F120" s="500">
        <f>SUM(B120:E120)</f>
        <v>0</v>
      </c>
      <c r="G120" s="501">
        <f>G119+F120</f>
        <v>532413551.66</v>
      </c>
      <c r="H120" s="486" t="s"/>
    </row>
    <row r="121" spans="1:8">
      <c r="A121" s="497">
        <v>45886</v>
      </c>
      <c r="B121" s="498" t="s">
        <v>209</v>
      </c>
      <c r="C121" s="498" t="s">
        <v>209</v>
      </c>
      <c r="D121" s="498" t="s">
        <v>209</v>
      </c>
      <c r="E121" s="515" t="s">
        <v>209</v>
      </c>
      <c r="F121" s="500">
        <f>SUM(B121:E121)</f>
        <v>0</v>
      </c>
      <c r="G121" s="501">
        <f>G120+F121</f>
        <v>532413551.66</v>
      </c>
      <c r="H121" s="486" t="s"/>
    </row>
    <row r="122" spans="1:8">
      <c r="A122" s="497">
        <v>45887</v>
      </c>
      <c r="B122" s="498">
        <v>319422293.58</v>
      </c>
      <c r="C122" s="498">
        <v>-3800.01</v>
      </c>
      <c r="D122" s="498" t="s">
        <v>209</v>
      </c>
      <c r="E122" s="515" t="s">
        <v>209</v>
      </c>
      <c r="F122" s="500">
        <f>SUM(B122:E122)</f>
        <v>319418493.57</v>
      </c>
      <c r="G122" s="501">
        <f>G121+F122</f>
        <v>851832045.23</v>
      </c>
      <c r="H122" s="486" t="s"/>
    </row>
    <row r="123" spans="1:8">
      <c r="A123" s="497">
        <v>45888</v>
      </c>
      <c r="B123" s="498">
        <v>46270460.38</v>
      </c>
      <c r="C123" s="498">
        <v>-62332964.37</v>
      </c>
      <c r="D123" s="498">
        <v>-94000000</v>
      </c>
      <c r="E123" s="506" t="s">
        <v>811</v>
      </c>
      <c r="F123" s="500">
        <f>SUM(B123:E123)</f>
        <v>-110062503.99</v>
      </c>
      <c r="G123" s="501">
        <f>G122+F123</f>
        <v>741769541.24</v>
      </c>
      <c r="H123" s="486" t="s"/>
    </row>
    <row r="124" spans="1:8">
      <c r="A124" s="497">
        <v>45889</v>
      </c>
      <c r="B124" s="513">
        <v>-21170654.66</v>
      </c>
      <c r="C124" s="498">
        <v>-80283226.03</v>
      </c>
      <c r="D124" s="498">
        <v>83000000</v>
      </c>
      <c r="E124" s="506" t="s">
        <v>812</v>
      </c>
      <c r="F124" s="500">
        <f>SUM(B124:E124)</f>
        <v>-18453880.69</v>
      </c>
      <c r="G124" s="501">
        <f>G123+F124</f>
        <v>723315660.55</v>
      </c>
      <c r="H124" s="486" t="s"/>
    </row>
    <row r="125" spans="1:8">
      <c r="A125" s="497">
        <v>45890</v>
      </c>
      <c r="B125" s="498">
        <v>73302189.31</v>
      </c>
      <c r="C125" s="498">
        <v>-214791843.83</v>
      </c>
      <c r="D125" s="513">
        <v>-119491409.6</v>
      </c>
      <c r="E125" s="508" t="s">
        <v>813</v>
      </c>
      <c r="F125" s="500">
        <f>SUM(B125:E125)</f>
        <v>-260981064.12</v>
      </c>
      <c r="G125" s="501">
        <f>G124+F125</f>
        <v>462334596.43</v>
      </c>
      <c r="H125" s="486" t="s"/>
    </row>
    <row r="126" spans="1:8">
      <c r="A126" s="497">
        <v>45891</v>
      </c>
      <c r="B126" s="498">
        <v>69986200</v>
      </c>
      <c r="C126" s="498">
        <v>-4611196.43</v>
      </c>
      <c r="D126" s="513">
        <v>51000000</v>
      </c>
      <c r="E126" s="508" t="s">
        <v>814</v>
      </c>
      <c r="F126" s="500">
        <f>SUM(B126:E126)</f>
        <v>116375003.57</v>
      </c>
      <c r="G126" s="501">
        <f>G125+F126</f>
        <v>578709600</v>
      </c>
      <c r="H126" s="486" t="s"/>
    </row>
    <row r="127" spans="1:8">
      <c r="A127" s="497">
        <v>45892</v>
      </c>
      <c r="B127" s="498" t="s"/>
      <c r="C127" s="498" t="s"/>
      <c r="D127" s="498" t="s"/>
      <c r="E127" s="515" t="s">
        <v>209</v>
      </c>
      <c r="F127" s="500">
        <f>SUM(B127:E127)</f>
        <v>0</v>
      </c>
      <c r="G127" s="501">
        <f>G126+F127</f>
        <v>578709600</v>
      </c>
      <c r="H127" s="486" t="s"/>
    </row>
    <row r="128" spans="1:8">
      <c r="A128" s="497">
        <v>45893</v>
      </c>
      <c r="B128" s="498" t="s"/>
      <c r="C128" s="498" t="s"/>
      <c r="D128" s="498" t="s"/>
      <c r="E128" s="515" t="s">
        <v>209</v>
      </c>
      <c r="F128" s="500">
        <f>SUM(B128:E128)</f>
        <v>0</v>
      </c>
      <c r="G128" s="501">
        <f>G127+F128</f>
        <v>578709600</v>
      </c>
      <c r="H128" s="486" t="s"/>
    </row>
    <row r="129" spans="1:8">
      <c r="A129" s="497">
        <v>45894</v>
      </c>
      <c r="B129" s="498">
        <f>598119864.74-250361008.87</f>
        <v>347758855.87</v>
      </c>
      <c r="C129" s="498">
        <v>-6833152.61</v>
      </c>
      <c r="D129" s="498">
        <v>-50000000</v>
      </c>
      <c r="E129" s="506" t="s">
        <v>815</v>
      </c>
      <c r="F129" s="500">
        <f>SUM(B129:E129)</f>
        <v>290925703.26</v>
      </c>
      <c r="G129" s="501">
        <f>G128+F129</f>
        <v>869635303.26</v>
      </c>
      <c r="H129" s="486" t="s"/>
    </row>
    <row r="130" spans="1:8">
      <c r="A130" s="497">
        <v>45895</v>
      </c>
      <c r="B130" s="498">
        <f>113496057.53-80574462.06</f>
        <v>32921595.47</v>
      </c>
      <c r="C130" s="498">
        <v>57299377.68</v>
      </c>
      <c r="D130" s="498">
        <v>-21000000</v>
      </c>
      <c r="E130" s="506" t="s">
        <v>816</v>
      </c>
      <c r="F130" s="500">
        <f>SUM(B130:E130)</f>
        <v>69220973.15</v>
      </c>
      <c r="G130" s="501">
        <f>G129+F130</f>
        <v>938856276.41</v>
      </c>
      <c r="H130" s="486" t="s"/>
    </row>
    <row r="131" spans="1:8">
      <c r="A131" s="497">
        <v>45896</v>
      </c>
      <c r="B131" s="498">
        <f>297248930.51-263798375.85</f>
        <v>33450554.66</v>
      </c>
      <c r="C131" s="498">
        <v>25459007.54</v>
      </c>
      <c r="D131" s="498">
        <v>-148000000</v>
      </c>
      <c r="E131" s="506" t="s">
        <v>817</v>
      </c>
      <c r="F131" s="500">
        <f>SUM(B131:E131)</f>
        <v>-89090437.8</v>
      </c>
      <c r="G131" s="501">
        <f>G130+F131</f>
        <v>849765838.61</v>
      </c>
      <c r="H131" s="486" t="s"/>
    </row>
    <row r="132" spans="1:8">
      <c r="A132" s="497">
        <v>45897</v>
      </c>
      <c r="B132" s="498">
        <f>110179461.9-80219823.84</f>
        <v>29959638.06</v>
      </c>
      <c r="C132" s="498">
        <v>-55742952.74</v>
      </c>
      <c r="D132" s="498">
        <v>-175000000</v>
      </c>
      <c r="E132" s="506" t="s">
        <v>818</v>
      </c>
      <c r="F132" s="500">
        <f>SUM(B132:E132)</f>
        <v>-200783314.68</v>
      </c>
      <c r="G132" s="501">
        <f>G131+F132</f>
        <v>648982523.93</v>
      </c>
      <c r="H132" s="486" t="s"/>
    </row>
    <row r="133" spans="1:8">
      <c r="A133" s="497">
        <v>45898</v>
      </c>
      <c r="B133" s="498">
        <f>283257364.63-10020266.3</f>
        <v>273237098.33</v>
      </c>
      <c r="C133" s="498">
        <v>-500</v>
      </c>
      <c r="D133" s="498">
        <v>-2000000</v>
      </c>
      <c r="E133" s="506" t="s">
        <v>819</v>
      </c>
      <c r="F133" s="500">
        <f>SUM(B133:E133)</f>
        <v>271236598.33</v>
      </c>
      <c r="G133" s="501">
        <f>G132+F133</f>
        <v>920219122.26</v>
      </c>
      <c r="H133" s="486" t="s"/>
    </row>
    <row r="134" spans="1:8">
      <c r="A134" s="497">
        <v>45899</v>
      </c>
      <c r="B134" s="498" t="s"/>
      <c r="C134" s="498" t="s"/>
      <c r="D134" s="498" t="s"/>
      <c r="E134" s="515" t="s">
        <v>209</v>
      </c>
      <c r="F134" s="500">
        <f>SUM(B134:E134)</f>
        <v>0</v>
      </c>
      <c r="G134" s="501">
        <f>G133+F134</f>
        <v>920219122.26</v>
      </c>
      <c r="H134" s="486" t="s"/>
    </row>
    <row r="135" spans="1:8">
      <c r="A135" s="497">
        <v>45900</v>
      </c>
      <c r="B135" s="498" t="s"/>
      <c r="C135" s="498" t="s"/>
      <c r="D135" s="498" t="s"/>
      <c r="E135" s="515" t="s">
        <v>209</v>
      </c>
      <c r="F135" s="500">
        <f>SUM(B135:E135)</f>
        <v>0</v>
      </c>
      <c r="G135" s="501">
        <f>G134+F135</f>
        <v>920219122.26</v>
      </c>
      <c r="H135" s="486" t="s"/>
    </row>
    <row r="136" spans="1:8">
      <c r="A136" s="497">
        <v>45901</v>
      </c>
      <c r="B136" s="498">
        <f>310007223.4-190346440.53-450000000</f>
        <v>-330339217.13</v>
      </c>
      <c r="C136" s="498">
        <v>-19875000</v>
      </c>
      <c r="D136" s="517">
        <v>-49000000</v>
      </c>
      <c r="E136" s="506" t="s">
        <v>820</v>
      </c>
      <c r="F136" s="500">
        <f>SUM(B136:E136)</f>
        <v>-399214217.13</v>
      </c>
      <c r="G136" s="501">
        <f>G135+F136</f>
        <v>521004905.13</v>
      </c>
      <c r="H136" s="486" t="s"/>
    </row>
    <row r="137" spans="1:8">
      <c r="A137" s="497">
        <v>45902</v>
      </c>
      <c r="B137" s="498">
        <v>60028405.48</v>
      </c>
      <c r="C137" s="498" t="s"/>
      <c r="D137" s="517">
        <v>-64000000</v>
      </c>
      <c r="E137" s="506" t="s">
        <v>821</v>
      </c>
      <c r="F137" s="500">
        <f>SUM(B137:E137)</f>
        <v>-3971594.52</v>
      </c>
      <c r="G137" s="501">
        <f>G136+F137</f>
        <v>517033310.61</v>
      </c>
      <c r="H137" s="486" t="s"/>
    </row>
    <row r="138" spans="1:8">
      <c r="A138" s="497">
        <v>45903</v>
      </c>
      <c r="B138" s="498">
        <f>594264898.95-215175116.71</f>
        <v>379089782.24</v>
      </c>
      <c r="C138" s="498">
        <v>-600</v>
      </c>
      <c r="D138" s="517">
        <v>-88000000</v>
      </c>
      <c r="E138" s="506" t="s">
        <v>822</v>
      </c>
      <c r="F138" s="500">
        <f>SUM(B138:E138)</f>
        <v>291089182.24</v>
      </c>
      <c r="G138" s="501">
        <f>G137+F138</f>
        <v>808122492.85</v>
      </c>
      <c r="H138" s="486" t="s"/>
    </row>
    <row r="139" spans="1:8">
      <c r="A139" s="497">
        <v>45904</v>
      </c>
      <c r="B139" s="498">
        <f>30624048.75-20021348.07</f>
        <v>10602700.68</v>
      </c>
      <c r="C139" s="498" t="s"/>
      <c r="D139" s="517">
        <v>-39000000</v>
      </c>
      <c r="E139" s="506" t="s">
        <v>823</v>
      </c>
      <c r="F139" s="500">
        <f>SUM(B139:E139)</f>
        <v>-28397299.32</v>
      </c>
      <c r="G139" s="501">
        <f>G138+F139</f>
        <v>779725193.53</v>
      </c>
      <c r="H139" s="486" t="s"/>
    </row>
    <row r="140" spans="1:8">
      <c r="A140" s="497">
        <v>45905</v>
      </c>
      <c r="B140" s="498">
        <f>301812704.85-279022812.92</f>
        <v>22789891.93</v>
      </c>
      <c r="C140" s="518">
        <v>-19446227.67</v>
      </c>
      <c r="D140" s="517">
        <v>-60000000</v>
      </c>
      <c r="E140" s="506" t="s">
        <v>824</v>
      </c>
      <c r="F140" s="500">
        <f>SUM(B140:E140)</f>
        <v>-56656335.74</v>
      </c>
      <c r="G140" s="501">
        <f>G139+F140</f>
        <v>723068857.79</v>
      </c>
      <c r="H140" s="486" t="s"/>
    </row>
    <row r="141" spans="1:8">
      <c r="A141" s="497">
        <v>45906</v>
      </c>
      <c r="B141" s="498" t="s"/>
      <c r="C141" s="498" t="s"/>
      <c r="D141" s="498" t="s"/>
      <c r="E141" s="515" t="s">
        <v>209</v>
      </c>
      <c r="F141" s="500">
        <f>SUM(B141:E141)</f>
        <v>0</v>
      </c>
      <c r="G141" s="501">
        <f>G140+F141</f>
        <v>723068857.79</v>
      </c>
      <c r="H141" s="486" t="s"/>
    </row>
    <row r="142" spans="1:8">
      <c r="A142" s="497">
        <v>45907</v>
      </c>
      <c r="B142" s="498" t="s"/>
      <c r="C142" s="498" t="s"/>
      <c r="D142" s="498" t="s"/>
      <c r="E142" s="515" t="s">
        <v>209</v>
      </c>
      <c r="F142" s="500">
        <f>SUM(B142:E142)</f>
        <v>0</v>
      </c>
      <c r="G142" s="501">
        <f>G141+F142</f>
        <v>723068857.79</v>
      </c>
      <c r="H142" s="486" t="s"/>
    </row>
    <row r="143" spans="1:8">
      <c r="A143" s="497">
        <v>45908</v>
      </c>
      <c r="B143" s="498">
        <f>620131250-260278801.37</f>
        <v>359852448.63</v>
      </c>
      <c r="C143" s="498">
        <v>-100200</v>
      </c>
      <c r="D143" s="519">
        <v>-61000000</v>
      </c>
      <c r="E143" s="506" t="s">
        <v>825</v>
      </c>
      <c r="F143" s="500">
        <f>SUM(B143:E143)</f>
        <v>298752248.63</v>
      </c>
      <c r="G143" s="501">
        <f>G142+F143</f>
        <v>1021821106.42</v>
      </c>
      <c r="H143" s="486" t="s"/>
    </row>
    <row r="144" spans="1:8">
      <c r="A144" s="497">
        <v>45909</v>
      </c>
      <c r="B144" s="498">
        <f>220008222.22-200000000</f>
        <v>20008222.22</v>
      </c>
      <c r="C144" s="498">
        <v>-20191885.62</v>
      </c>
      <c r="D144" s="519">
        <v>-15000000</v>
      </c>
      <c r="E144" s="520" t="s">
        <v>826</v>
      </c>
      <c r="F144" s="500">
        <f>SUM(B144:E144)</f>
        <v>-15183663.4</v>
      </c>
      <c r="G144" s="501">
        <f>G143+F144</f>
        <v>1006637443.02</v>
      </c>
      <c r="H144" s="486" t="s"/>
    </row>
    <row r="145" spans="1:8">
      <c r="A145" s="497">
        <v>45910</v>
      </c>
      <c r="B145" s="498">
        <f>520120950.55-471128898.48</f>
        <v>48992052.07</v>
      </c>
      <c r="C145" s="498">
        <v>-20052372.6</v>
      </c>
      <c r="D145" s="519">
        <v>-136000000</v>
      </c>
      <c r="E145" s="521" t="s">
        <v>827</v>
      </c>
      <c r="F145" s="500">
        <f>SUM(B145:E145)</f>
        <v>-107060320.53</v>
      </c>
      <c r="G145" s="501">
        <f>G144+F145</f>
        <v>899577122.49</v>
      </c>
      <c r="H145" s="486" t="s"/>
    </row>
    <row r="146" spans="1:8">
      <c r="A146" s="497">
        <v>45911</v>
      </c>
      <c r="B146" s="498">
        <f>200008611.11-343920258.76</f>
        <v>-143911647.65</v>
      </c>
      <c r="C146" s="498">
        <v>1081269.04</v>
      </c>
      <c r="D146" s="519">
        <v>-220000000</v>
      </c>
      <c r="E146" s="506" t="s">
        <v>828</v>
      </c>
      <c r="F146" s="500">
        <f>SUM(B146:E146)</f>
        <v>-362830378.61</v>
      </c>
      <c r="G146" s="501">
        <f>G145+F146</f>
        <v>536746743.88</v>
      </c>
      <c r="H146" s="486" t="s">
        <v>829</v>
      </c>
    </row>
    <row r="147" spans="1:8">
      <c r="A147" s="497">
        <v>45912</v>
      </c>
      <c r="B147" s="498">
        <f>909828975.47-370070328.8</f>
        <v>539758646.67</v>
      </c>
      <c r="C147" s="498">
        <v>-20222871.23</v>
      </c>
      <c r="D147" s="519">
        <v>-135000000</v>
      </c>
      <c r="E147" s="506" t="s">
        <v>830</v>
      </c>
      <c r="F147" s="500">
        <f>SUM(B147:E147)</f>
        <v>384535775.44</v>
      </c>
      <c r="G147" s="501">
        <f>G146+F147</f>
        <v>921282519.32</v>
      </c>
      <c r="H147" s="486" t="s"/>
    </row>
    <row r="148" spans="1:8">
      <c r="A148" s="497">
        <v>45913</v>
      </c>
      <c r="B148" s="498" t="s"/>
      <c r="C148" s="498" t="s"/>
      <c r="D148" s="519" t="s">
        <v>209</v>
      </c>
      <c r="E148" s="515" t="s">
        <v>209</v>
      </c>
      <c r="F148" s="500">
        <f>SUM(B148:E148)</f>
        <v>0</v>
      </c>
      <c r="G148" s="501">
        <f>G147+F148</f>
        <v>921282519.32</v>
      </c>
      <c r="H148" s="486" t="s"/>
    </row>
    <row r="149" spans="1:8">
      <c r="A149" s="497">
        <v>45914</v>
      </c>
      <c r="B149" s="498" t="s"/>
      <c r="C149" s="498" t="s"/>
      <c r="D149" s="519" t="s">
        <v>209</v>
      </c>
      <c r="E149" s="515" t="s">
        <v>209</v>
      </c>
      <c r="F149" s="500">
        <f>SUM(B149:E149)</f>
        <v>0</v>
      </c>
      <c r="G149" s="501">
        <f>G148+F149</f>
        <v>921282519.32</v>
      </c>
      <c r="H149" s="486" t="s"/>
    </row>
    <row r="150" spans="1:8">
      <c r="A150" s="497">
        <v>45915</v>
      </c>
      <c r="B150" s="498">
        <f>150018500-150000000</f>
        <v>18500</v>
      </c>
      <c r="C150" s="498" t="s"/>
      <c r="D150" s="519">
        <v>-2000000</v>
      </c>
      <c r="E150" s="506" t="s">
        <v>831</v>
      </c>
      <c r="F150" s="500">
        <f>SUM(B150:E150)</f>
        <v>-1981500</v>
      </c>
      <c r="G150" s="501">
        <f>G149+F150</f>
        <v>919301019.32</v>
      </c>
      <c r="H150" s="486" t="s"/>
    </row>
    <row r="151" spans="1:8">
      <c r="A151" s="497">
        <v>45916</v>
      </c>
      <c r="B151" s="498">
        <v>2375</v>
      </c>
      <c r="C151" s="498">
        <v>-85799.9999999851</v>
      </c>
      <c r="D151" s="519">
        <v>-24000000</v>
      </c>
      <c r="E151" s="506" t="s">
        <v>832</v>
      </c>
      <c r="F151" s="500">
        <f>SUM(B151:E151)</f>
        <v>-24083425</v>
      </c>
      <c r="G151" s="501">
        <f>G150+F151</f>
        <v>895217594.32</v>
      </c>
      <c r="H151" s="486" t="s"/>
    </row>
    <row r="152" spans="1:8">
      <c r="A152" s="497">
        <v>45917</v>
      </c>
      <c r="B152" s="498">
        <v>189751501.21</v>
      </c>
      <c r="C152" s="522">
        <v>-2000</v>
      </c>
      <c r="D152" s="519">
        <v>-108000000</v>
      </c>
      <c r="E152" s="506" t="s">
        <v>833</v>
      </c>
      <c r="F152" s="500">
        <f>SUM(B152:E152)</f>
        <v>81749501.21</v>
      </c>
      <c r="G152" s="501">
        <f>G151+F152</f>
        <v>976967095.53</v>
      </c>
      <c r="H152" s="486" t="s"/>
    </row>
    <row r="153" spans="1:8">
      <c r="A153" s="497">
        <v>45918</v>
      </c>
      <c r="B153" s="498">
        <f>243289644.83-53267953.9-150000000</f>
        <v>40021690.93</v>
      </c>
      <c r="C153" s="498">
        <v>20205300.14</v>
      </c>
      <c r="D153" s="519">
        <v>120000000</v>
      </c>
      <c r="E153" s="506" t="s">
        <v>834</v>
      </c>
      <c r="F153" s="500">
        <f>SUM(B153:E153)</f>
        <v>180226991.07</v>
      </c>
      <c r="G153" s="501">
        <f>G152+F153</f>
        <v>1157194086.6</v>
      </c>
      <c r="H153" s="486" t="s"/>
    </row>
    <row r="154" spans="1:8">
      <c r="A154" s="497">
        <v>45919</v>
      </c>
      <c r="B154" s="498">
        <f>183804966.3-43808033.08</f>
        <v>139996933.22</v>
      </c>
      <c r="C154" s="498" t="s"/>
      <c r="D154" s="519">
        <v>-187000000</v>
      </c>
      <c r="E154" s="506" t="s">
        <v>835</v>
      </c>
      <c r="F154" s="500">
        <f>SUM(B154:E154)</f>
        <v>-47003066.78</v>
      </c>
      <c r="G154" s="501">
        <f>G153+F154</f>
        <v>1110191019.82</v>
      </c>
      <c r="H154" s="486" t="s"/>
    </row>
    <row r="155" spans="1:8">
      <c r="A155" s="497">
        <v>45920</v>
      </c>
      <c r="B155" s="498" t="s"/>
      <c r="C155" s="498" t="s"/>
      <c r="D155" s="519" t="s">
        <v>209</v>
      </c>
      <c r="E155" s="515" t="s">
        <v>209</v>
      </c>
      <c r="F155" s="500">
        <f>SUM(B155:E155)</f>
        <v>0</v>
      </c>
      <c r="G155" s="501">
        <f>G154+F155</f>
        <v>1110191019.82</v>
      </c>
      <c r="H155" s="486" t="s"/>
    </row>
    <row r="156" spans="1:8">
      <c r="A156" s="497">
        <v>45921</v>
      </c>
      <c r="B156" s="498" t="s"/>
      <c r="C156" s="498" t="s"/>
      <c r="D156" s="519" t="s">
        <v>209</v>
      </c>
      <c r="E156" s="515" t="s">
        <v>209</v>
      </c>
      <c r="F156" s="500">
        <f>SUM(B156:E156)</f>
        <v>0</v>
      </c>
      <c r="G156" s="501">
        <f>G155+F156</f>
        <v>1110191019.82</v>
      </c>
      <c r="H156" s="486" t="s"/>
    </row>
    <row r="157" spans="1:8">
      <c r="A157" s="497">
        <v>45922</v>
      </c>
      <c r="B157" s="498">
        <f>40463362.26-240016252.12</f>
        <v>-199552889.86</v>
      </c>
      <c r="C157" s="498" t="s"/>
      <c r="D157" s="519">
        <v>-12000000</v>
      </c>
      <c r="E157" s="506" t="s">
        <v>836</v>
      </c>
      <c r="F157" s="500">
        <f>SUM(B157:E157)</f>
        <v>-211552889.86</v>
      </c>
      <c r="G157" s="501">
        <f>G156+F157</f>
        <v>898638129.96</v>
      </c>
      <c r="H157" s="486" t="s"/>
    </row>
    <row r="158" spans="1:8">
      <c r="A158" s="497">
        <v>45923</v>
      </c>
      <c r="B158" s="498">
        <v>142251198.08</v>
      </c>
      <c r="C158" s="498">
        <v>-529311056.99</v>
      </c>
      <c r="D158" s="523">
        <v>125000000</v>
      </c>
      <c r="E158" s="506" t="s">
        <v>837</v>
      </c>
      <c r="F158" s="500">
        <f>SUM(B158:E158)</f>
        <v>-262059858.91</v>
      </c>
      <c r="G158" s="501">
        <f>G157+F158</f>
        <v>636578271.05</v>
      </c>
      <c r="H158" s="486" t="s"/>
    </row>
    <row r="159" spans="1:8">
      <c r="A159" s="497">
        <v>45924</v>
      </c>
      <c r="B159" s="498">
        <v>10201060.41</v>
      </c>
      <c r="C159" s="498">
        <v>-39120</v>
      </c>
      <c r="D159" s="523">
        <v>38000000</v>
      </c>
      <c r="E159" s="524" t="s">
        <v>838</v>
      </c>
      <c r="F159" s="500">
        <f>SUM(B159:E159)</f>
        <v>48161940.41</v>
      </c>
      <c r="G159" s="501">
        <f>G158+F159</f>
        <v>684740211.46</v>
      </c>
      <c r="H159" s="525" t="s"/>
    </row>
    <row r="160" spans="1:8">
      <c r="A160" s="497">
        <v>45925</v>
      </c>
      <c r="B160" s="498">
        <f>10000590-687000</f>
        <v>9313590</v>
      </c>
      <c r="C160" s="498">
        <f>9992184.93*2</f>
        <v>19984369.86</v>
      </c>
      <c r="D160" s="526">
        <v>153000000</v>
      </c>
      <c r="E160" s="527" t="s">
        <v>839</v>
      </c>
      <c r="F160" s="500">
        <f>SUM(B160:E160)</f>
        <v>182297959.86</v>
      </c>
      <c r="G160" s="501">
        <f>G159+F160</f>
        <v>867038171.32</v>
      </c>
      <c r="H160" s="525" t="s">
        <v>314</v>
      </c>
    </row>
    <row r="161" spans="1:8">
      <c r="A161" s="497">
        <v>45926</v>
      </c>
      <c r="B161" s="498">
        <f>134228765.97-84237765.97</f>
        <v>49991000</v>
      </c>
      <c r="C161" s="498">
        <v>-2044065.75</v>
      </c>
      <c r="D161" s="519">
        <v>90000000</v>
      </c>
      <c r="E161" s="524" t="s">
        <v>840</v>
      </c>
      <c r="F161" s="500">
        <f>SUM(B161:E161)</f>
        <v>137946934.25</v>
      </c>
      <c r="G161" s="501">
        <f>G160+F161</f>
        <v>1004985105.57</v>
      </c>
      <c r="H161" s="486" t="s"/>
    </row>
    <row r="162" spans="1:8">
      <c r="A162" s="497">
        <v>45927</v>
      </c>
      <c r="B162" s="498" t="s"/>
      <c r="C162" s="498" t="s"/>
      <c r="D162" s="519" t="s">
        <v>209</v>
      </c>
      <c r="E162" s="515" t="s">
        <v>209</v>
      </c>
      <c r="F162" s="500">
        <f>SUM(B162:E162)</f>
        <v>0</v>
      </c>
      <c r="G162" s="501">
        <f>G161+F162</f>
        <v>1004985105.57</v>
      </c>
      <c r="H162" s="486" t="s"/>
    </row>
    <row r="163" spans="1:8">
      <c r="A163" s="497">
        <v>45928</v>
      </c>
      <c r="B163" s="498" t="s"/>
      <c r="C163" s="498" t="s"/>
      <c r="D163" s="519" t="s">
        <v>209</v>
      </c>
      <c r="E163" s="515" t="s">
        <v>209</v>
      </c>
      <c r="F163" s="500">
        <f>SUM(B163:E163)</f>
        <v>0</v>
      </c>
      <c r="G163" s="501">
        <f>G162+F163</f>
        <v>1004985105.57</v>
      </c>
      <c r="H163" s="486" t="s"/>
    </row>
    <row r="164" spans="1:11">
      <c r="A164" s="497">
        <v>45929</v>
      </c>
      <c r="B164" s="498">
        <f>305698088-316008599.24</f>
        <v>-10310511.24</v>
      </c>
      <c r="C164" s="498">
        <v>-100</v>
      </c>
      <c r="D164" s="519">
        <v>2000000</v>
      </c>
      <c r="E164" s="524" t="s">
        <v>841</v>
      </c>
      <c r="F164" s="500">
        <f>SUM(B164:E164)</f>
        <v>-8310611.24000001</v>
      </c>
      <c r="G164" s="501">
        <f>G163+F164</f>
        <v>996674494.33</v>
      </c>
      <c r="H164" s="486" t="s"/>
      <c r="K164" s="528" t="s"/>
    </row>
    <row r="165" spans="1:8">
      <c r="A165" s="497">
        <v>45930</v>
      </c>
      <c r="B165" s="498">
        <f>127790252.72-108021768.2</f>
        <v>19768484.52</v>
      </c>
      <c r="C165" s="498">
        <v>-60143621.92</v>
      </c>
      <c r="D165" s="498">
        <v>0</v>
      </c>
      <c r="E165" s="515" t="s">
        <v>209</v>
      </c>
      <c r="F165" s="500">
        <f>SUM(B165:E165)</f>
        <v>-40375137.4</v>
      </c>
      <c r="G165" s="501">
        <f>G164+F165</f>
        <v>956299356.93</v>
      </c>
      <c r="H165" s="486" t="s">
        <v>314</v>
      </c>
    </row>
    <row r="166" spans="1:8">
      <c r="A166" s="497">
        <v>45931</v>
      </c>
      <c r="B166" s="498" t="s"/>
      <c r="C166" s="498" t="s"/>
      <c r="D166" s="498" t="s"/>
      <c r="E166" s="515" t="s">
        <v>209</v>
      </c>
      <c r="F166" s="500">
        <f>SUM(B166:E166)</f>
        <v>0</v>
      </c>
      <c r="G166" s="501">
        <f>G165+F166</f>
        <v>956299356.93</v>
      </c>
      <c r="H166" s="486" t="s"/>
    </row>
    <row r="167" spans="1:8">
      <c r="A167" s="497">
        <v>45932</v>
      </c>
      <c r="B167" s="498" t="s"/>
      <c r="C167" s="498" t="s"/>
      <c r="D167" s="498" t="s"/>
      <c r="E167" s="515" t="s">
        <v>209</v>
      </c>
      <c r="F167" s="500">
        <f>SUM(B167:E167)</f>
        <v>0</v>
      </c>
      <c r="G167" s="501">
        <f>G166+F167</f>
        <v>956299356.93</v>
      </c>
      <c r="H167" s="486" t="s"/>
    </row>
    <row r="168" spans="1:8">
      <c r="A168" s="497">
        <v>45933</v>
      </c>
      <c r="B168" s="498" t="s"/>
      <c r="C168" s="498" t="s"/>
      <c r="D168" s="498" t="s"/>
      <c r="E168" s="515" t="s">
        <v>209</v>
      </c>
      <c r="F168" s="500">
        <f>SUM(B168:E168)</f>
        <v>0</v>
      </c>
      <c r="G168" s="501">
        <f>G167+F168</f>
        <v>956299356.93</v>
      </c>
      <c r="H168" s="486" t="s"/>
    </row>
    <row r="169" spans="1:8">
      <c r="A169" s="497">
        <v>45934</v>
      </c>
      <c r="B169" s="498" t="s"/>
      <c r="C169" s="498" t="s"/>
      <c r="D169" s="498" t="s"/>
      <c r="E169" s="515" t="s">
        <v>209</v>
      </c>
      <c r="F169" s="500">
        <f>SUM(B169:E169)</f>
        <v>0</v>
      </c>
      <c r="G169" s="501">
        <f>G168+F169</f>
        <v>956299356.93</v>
      </c>
      <c r="H169" s="486" t="s"/>
    </row>
    <row r="170" spans="1:8">
      <c r="A170" s="497">
        <v>45935</v>
      </c>
      <c r="B170" s="498" t="s"/>
      <c r="C170" s="498" t="s"/>
      <c r="D170" s="498" t="s"/>
      <c r="E170" s="515" t="s">
        <v>209</v>
      </c>
      <c r="F170" s="500">
        <f>SUM(B170:E170)</f>
        <v>0</v>
      </c>
      <c r="G170" s="501">
        <f>G169+F170</f>
        <v>956299356.93</v>
      </c>
      <c r="H170" s="486" t="s"/>
    </row>
    <row r="171" spans="1:8">
      <c r="A171" s="497">
        <v>45936</v>
      </c>
      <c r="B171" s="498" t="s"/>
      <c r="C171" s="498" t="s"/>
      <c r="D171" s="498" t="s"/>
      <c r="E171" s="515" t="s">
        <v>209</v>
      </c>
      <c r="F171" s="500">
        <f>SUM(B171:E171)</f>
        <v>0</v>
      </c>
      <c r="G171" s="501">
        <f>G170+F171</f>
        <v>956299356.93</v>
      </c>
      <c r="H171" s="486" t="s"/>
    </row>
    <row r="172" spans="1:8">
      <c r="A172" s="497">
        <v>45937</v>
      </c>
      <c r="B172" s="498" t="s"/>
      <c r="C172" s="498" t="s"/>
      <c r="D172" s="498" t="s"/>
      <c r="E172" s="515" t="s">
        <v>209</v>
      </c>
      <c r="F172" s="500">
        <f>SUM(B172:E172)</f>
        <v>0</v>
      </c>
      <c r="G172" s="501">
        <f>G171+F172</f>
        <v>956299356.93</v>
      </c>
      <c r="H172" s="486" t="s"/>
    </row>
    <row r="173" spans="1:8">
      <c r="A173" s="497">
        <v>45938</v>
      </c>
      <c r="B173" s="498" t="s"/>
      <c r="C173" s="498" t="s"/>
      <c r="D173" s="498" t="s"/>
      <c r="E173" s="515" t="s">
        <v>209</v>
      </c>
      <c r="F173" s="500">
        <f>SUM(B173:E173)</f>
        <v>0</v>
      </c>
      <c r="G173" s="501">
        <f>G172+F173</f>
        <v>956299356.93</v>
      </c>
      <c r="H173" s="486" t="s"/>
    </row>
    <row r="174" spans="1:8">
      <c r="A174" s="497">
        <v>45939</v>
      </c>
      <c r="B174" s="498">
        <v>-10040986.3</v>
      </c>
      <c r="C174" s="498" t="s"/>
      <c r="D174" s="498" t="s"/>
      <c r="E174" s="515" t="s">
        <v>209</v>
      </c>
      <c r="F174" s="500">
        <f>SUM(B174:E174)</f>
        <v>-10040986.3</v>
      </c>
      <c r="G174" s="501">
        <f>G173+F174</f>
        <v>946258370.63</v>
      </c>
      <c r="H174" s="486" t="s"/>
    </row>
    <row r="175" spans="1:8">
      <c r="A175" s="497">
        <v>45940</v>
      </c>
      <c r="B175" s="498">
        <f>40477813.7-51837500.82</f>
        <v>-11359687.12</v>
      </c>
      <c r="C175" s="498">
        <v>0</v>
      </c>
      <c r="D175" s="519">
        <v>9000000</v>
      </c>
      <c r="E175" s="524" t="s">
        <v>842</v>
      </c>
      <c r="F175" s="500">
        <f>SUM(B175:E175)</f>
        <v>-2359687.12</v>
      </c>
      <c r="G175" s="501">
        <f>G174+F175</f>
        <v>943898683.51</v>
      </c>
      <c r="H175" s="486" t="s"/>
    </row>
    <row r="176" spans="1:8">
      <c r="A176" s="497">
        <v>45941</v>
      </c>
      <c r="B176" s="498" t="s"/>
      <c r="C176" s="498" t="s"/>
      <c r="D176" s="519" t="s">
        <v>209</v>
      </c>
      <c r="E176" s="515" t="s">
        <v>209</v>
      </c>
      <c r="F176" s="500">
        <f>SUM(B176:E176)</f>
        <v>0</v>
      </c>
      <c r="G176" s="501">
        <f>G175+F176</f>
        <v>943898683.51</v>
      </c>
      <c r="H176" s="486" t="s"/>
    </row>
    <row r="177" spans="1:8">
      <c r="A177" s="497">
        <v>45942</v>
      </c>
      <c r="B177" s="498" t="s"/>
      <c r="C177" s="498" t="s"/>
      <c r="D177" s="519" t="s">
        <v>209</v>
      </c>
      <c r="E177" s="515" t="s">
        <v>209</v>
      </c>
      <c r="F177" s="500">
        <f>SUM(B177:E177)</f>
        <v>0</v>
      </c>
      <c r="G177" s="501">
        <f>G176+F177</f>
        <v>943898683.51</v>
      </c>
      <c r="H177" s="486" t="s"/>
    </row>
    <row r="178" spans="1:8">
      <c r="A178" s="497">
        <v>45943</v>
      </c>
      <c r="B178" s="498">
        <f>91184498.22-150043016.43</f>
        <v>-58858518.21</v>
      </c>
      <c r="C178" s="498">
        <v>0</v>
      </c>
      <c r="D178" s="519">
        <v>-30000000</v>
      </c>
      <c r="E178" s="524" t="s">
        <v>843</v>
      </c>
      <c r="F178" s="500">
        <f>SUM(B178:E178)</f>
        <v>-88858518.21</v>
      </c>
      <c r="G178" s="501">
        <f>G177+F178</f>
        <v>855040165.3</v>
      </c>
      <c r="H178" s="486" t="s"/>
    </row>
    <row r="179" spans="1:8">
      <c r="A179" s="497">
        <v>45944</v>
      </c>
      <c r="B179" s="498">
        <f>10044238.22-10044438.22</f>
        <v>-200</v>
      </c>
      <c r="C179" s="498">
        <v>-16000</v>
      </c>
      <c r="D179" s="519">
        <v>-72000000</v>
      </c>
      <c r="E179" s="524" t="s">
        <v>844</v>
      </c>
      <c r="F179" s="500">
        <f>SUM(B179:E179)</f>
        <v>-72016200</v>
      </c>
      <c r="G179" s="501">
        <f>G178+F179</f>
        <v>783023965.3</v>
      </c>
      <c r="H179" s="486" t="s"/>
    </row>
    <row r="180" spans="1:8">
      <c r="A180" s="497">
        <v>45945</v>
      </c>
      <c r="B180" s="498">
        <f>93011360.66-53018710.66</f>
        <v>39992650</v>
      </c>
      <c r="C180" s="498">
        <v>0</v>
      </c>
      <c r="D180" s="519">
        <v>48000000</v>
      </c>
      <c r="E180" s="524" t="s">
        <v>845</v>
      </c>
      <c r="F180" s="500">
        <f>SUM(B180:E180)</f>
        <v>87992650</v>
      </c>
      <c r="G180" s="501">
        <f>G179+F180</f>
        <v>871016615.3</v>
      </c>
      <c r="H180" s="486" t="s"/>
    </row>
    <row r="181" spans="1:8">
      <c r="A181" s="497">
        <v>45946</v>
      </c>
      <c r="B181" s="498">
        <f>190540701.36-210650002.73</f>
        <v>-20109301.37</v>
      </c>
      <c r="C181" s="498">
        <v>0</v>
      </c>
      <c r="D181" s="519">
        <v>-20000000</v>
      </c>
      <c r="E181" s="524" t="s">
        <v>846</v>
      </c>
      <c r="F181" s="500">
        <f>SUM(B181:E181)</f>
        <v>-40109301.37</v>
      </c>
      <c r="G181" s="501">
        <f>G180+F181</f>
        <v>830907313.93</v>
      </c>
      <c r="H181" s="486" t="s"/>
    </row>
    <row r="182" spans="1:8">
      <c r="A182" s="497">
        <v>45947</v>
      </c>
      <c r="B182" s="498">
        <f>246879387.14-220078733.43</f>
        <v>26800653.71</v>
      </c>
      <c r="C182" s="498">
        <v>-33096201.91</v>
      </c>
      <c r="D182" s="519">
        <v>-70000000</v>
      </c>
      <c r="E182" s="524" t="s">
        <v>847</v>
      </c>
      <c r="F182" s="500">
        <f>SUM(B182:E182)</f>
        <v>-76295548.2</v>
      </c>
      <c r="G182" s="501">
        <f>G181+F182</f>
        <v>754611765.73</v>
      </c>
      <c r="H182" s="486" t="s"/>
    </row>
    <row r="183" spans="1:8">
      <c r="A183" s="497">
        <v>45948</v>
      </c>
      <c r="B183" s="498" t="s"/>
      <c r="C183" s="498" t="s"/>
      <c r="D183" s="519" t="s">
        <v>209</v>
      </c>
      <c r="E183" s="515" t="s">
        <v>209</v>
      </c>
      <c r="F183" s="500">
        <f>SUM(B183:E183)</f>
        <v>0</v>
      </c>
      <c r="G183" s="501">
        <f>G182+F183</f>
        <v>754611765.73</v>
      </c>
      <c r="H183" s="486" t="s"/>
    </row>
    <row r="184" spans="1:8">
      <c r="A184" s="497">
        <v>45949</v>
      </c>
      <c r="B184" s="498" t="s"/>
      <c r="C184" s="498" t="s"/>
      <c r="D184" s="519" t="s">
        <v>209</v>
      </c>
      <c r="E184" s="515" t="s">
        <v>209</v>
      </c>
      <c r="F184" s="500">
        <f>SUM(B184:E184)</f>
        <v>0</v>
      </c>
      <c r="G184" s="501">
        <f>G183+F184</f>
        <v>754611765.73</v>
      </c>
      <c r="H184" s="486" t="s"/>
    </row>
    <row r="185" spans="1:8">
      <c r="A185" s="497">
        <v>45950</v>
      </c>
      <c r="B185" s="498">
        <f>0-50108135.2</f>
        <v>-50108135.2</v>
      </c>
      <c r="C185" s="498">
        <v>0</v>
      </c>
      <c r="D185" s="519">
        <v>-20000000</v>
      </c>
      <c r="E185" s="524" t="s">
        <v>848</v>
      </c>
      <c r="F185" s="500">
        <f>SUM(B185:E185)</f>
        <v>-70108135.2</v>
      </c>
      <c r="G185" s="501">
        <f>G184+F185</f>
        <v>684503630.53</v>
      </c>
      <c r="H185" s="486" t="s">
        <v>314</v>
      </c>
    </row>
    <row r="186" spans="1:8">
      <c r="A186" s="497">
        <v>45951</v>
      </c>
      <c r="B186" s="498">
        <f>257941491.28-81981675.62</f>
        <v>175959815.66</v>
      </c>
      <c r="C186" s="498">
        <v>-16074112.32</v>
      </c>
      <c r="D186" s="519">
        <v>-30000000</v>
      </c>
      <c r="E186" s="524" t="s">
        <v>849</v>
      </c>
      <c r="F186" s="500">
        <f>SUM(B186:E186)</f>
        <v>129885703.34</v>
      </c>
      <c r="G186" s="501">
        <f>G185+F186</f>
        <v>814389333.87</v>
      </c>
      <c r="H186" s="486" t="s"/>
    </row>
    <row r="187" spans="1:8">
      <c r="A187" s="497">
        <v>45952</v>
      </c>
      <c r="B187" s="498">
        <f>221359313.29-296469695.24</f>
        <v>-75110381.95</v>
      </c>
      <c r="C187" s="498">
        <v>-36130154.8</v>
      </c>
      <c r="D187" s="519">
        <v>-10000000</v>
      </c>
      <c r="E187" s="524" t="s">
        <v>850</v>
      </c>
      <c r="F187" s="500">
        <f>SUM(B187:E187)</f>
        <v>-121240536.75</v>
      </c>
      <c r="G187" s="501">
        <f>G186+F187</f>
        <v>693148797.12</v>
      </c>
      <c r="H187" s="486" t="s"/>
    </row>
    <row r="188" spans="1:8">
      <c r="A188" s="497">
        <v>45953</v>
      </c>
      <c r="B188" s="498">
        <f>140494817.67-126777217.39</f>
        <v>13717600.28</v>
      </c>
      <c r="C188" s="498">
        <v>-31365675.34</v>
      </c>
      <c r="D188" s="519">
        <v>-28000000</v>
      </c>
      <c r="E188" s="524" t="s">
        <v>851</v>
      </c>
      <c r="F188" s="500">
        <f>SUM(B188:E188)</f>
        <v>-45648075.06</v>
      </c>
      <c r="G188" s="501">
        <f>G187+F188</f>
        <v>647500722.06</v>
      </c>
      <c r="H188" s="486" t="s"/>
    </row>
    <row r="189" spans="1:9">
      <c r="A189" s="497">
        <v>45954</v>
      </c>
      <c r="B189" s="498">
        <f>176379584.16-107378525.95</f>
        <v>69001058.21</v>
      </c>
      <c r="C189" s="498">
        <v>8332672.6</v>
      </c>
      <c r="D189" s="498">
        <v>-40000000</v>
      </c>
      <c r="E189" s="527" t="s">
        <v>852</v>
      </c>
      <c r="F189" s="500">
        <f>SUM(B189:E189)</f>
        <v>37333730.81</v>
      </c>
      <c r="G189" s="501">
        <f>G188+F189</f>
        <v>684834452.87</v>
      </c>
      <c r="H189" s="486" t="s">
        <v>314</v>
      </c>
      <c r="I189" s="529" t="s">
        <v>853</v>
      </c>
    </row>
    <row r="190" spans="1:8">
      <c r="A190" s="497">
        <v>45955</v>
      </c>
      <c r="B190" s="498" t="s"/>
      <c r="C190" s="498" t="s"/>
      <c r="D190" s="498" t="s"/>
      <c r="E190" s="515" t="s">
        <v>209</v>
      </c>
      <c r="F190" s="500">
        <f>SUM(B190:E190)</f>
        <v>0</v>
      </c>
      <c r="G190" s="501">
        <f>G189+F190</f>
        <v>684834452.87</v>
      </c>
      <c r="H190" s="486" t="s"/>
    </row>
    <row r="191" spans="1:8">
      <c r="A191" s="497">
        <v>45956</v>
      </c>
      <c r="B191" s="498" t="s"/>
      <c r="C191" s="498" t="s"/>
      <c r="D191" s="498" t="s"/>
      <c r="E191" s="515" t="s">
        <v>209</v>
      </c>
      <c r="F191" s="500">
        <f>SUM(B191:E191)</f>
        <v>0</v>
      </c>
      <c r="G191" s="501">
        <f>G190+F191</f>
        <v>684834452.87</v>
      </c>
      <c r="H191" s="486" t="s"/>
    </row>
    <row r="192" spans="1:8">
      <c r="A192" s="497">
        <v>45957</v>
      </c>
      <c r="B192" s="498">
        <f>10000000-20234213.7</f>
        <v>-10234213.7</v>
      </c>
      <c r="C192" s="498" t="s"/>
      <c r="D192" s="519">
        <v>-123000000</v>
      </c>
      <c r="E192" s="524" t="s">
        <v>854</v>
      </c>
      <c r="F192" s="500">
        <f>SUM(B192:E192)</f>
        <v>-133234213.7</v>
      </c>
      <c r="G192" s="501">
        <f>G191+F192</f>
        <v>551600239.17</v>
      </c>
      <c r="H192" s="486" t="s"/>
    </row>
    <row r="193" spans="1:8">
      <c r="A193" s="497">
        <v>45958</v>
      </c>
      <c r="B193" s="498">
        <f>181546175.11-46058515.53</f>
        <v>135487659.58</v>
      </c>
      <c r="C193" s="498" t="s"/>
      <c r="D193" s="519">
        <v>1000000</v>
      </c>
      <c r="E193" s="524" t="s">
        <v>855</v>
      </c>
      <c r="F193" s="500">
        <f>SUM(B193:E193)</f>
        <v>136487659.58</v>
      </c>
      <c r="G193" s="501">
        <f>G192+F193</f>
        <v>688087898.75</v>
      </c>
      <c r="H193" s="486" t="s"/>
    </row>
    <row r="194" spans="1:8">
      <c r="A194" s="497">
        <v>45959</v>
      </c>
      <c r="B194" s="498">
        <f>181328236.03-100532904.25</f>
        <v>80795331.78</v>
      </c>
      <c r="C194" s="498">
        <v>0</v>
      </c>
      <c r="D194" s="519">
        <v>-85000000</v>
      </c>
      <c r="E194" s="524" t="s">
        <v>856</v>
      </c>
      <c r="F194" s="500">
        <f>SUM(B194:E194)</f>
        <v>-4204668.22</v>
      </c>
      <c r="G194" s="501">
        <f>G193+F194</f>
        <v>683883230.53</v>
      </c>
      <c r="H194" s="486" t="s">
        <v>314</v>
      </c>
    </row>
    <row r="195" spans="1:8">
      <c r="A195" s="497">
        <v>45960</v>
      </c>
      <c r="B195" s="498">
        <f>73897983.22-73915683.22</f>
        <v>-17700</v>
      </c>
      <c r="C195" s="498">
        <v>-40044219.18</v>
      </c>
      <c r="D195" s="530">
        <v>29000000</v>
      </c>
      <c r="E195" s="524" t="s">
        <v>857</v>
      </c>
      <c r="F195" s="500">
        <f>SUM(B195:E195)</f>
        <v>-11061919.18</v>
      </c>
      <c r="G195" s="501">
        <f>G194+F195</f>
        <v>672821311.35</v>
      </c>
      <c r="H195" s="486" t="s"/>
    </row>
    <row r="196" spans="1:8">
      <c r="A196" s="497">
        <v>45961</v>
      </c>
      <c r="B196" s="498">
        <v>49983597.81</v>
      </c>
      <c r="C196" s="498">
        <v>-16049109.06</v>
      </c>
      <c r="D196" s="519">
        <v>56000000</v>
      </c>
      <c r="E196" s="524" t="s">
        <v>858</v>
      </c>
      <c r="F196" s="500">
        <f>SUM(B196:E196)</f>
        <v>89934488.75</v>
      </c>
      <c r="G196" s="501">
        <f>G195+F196</f>
        <v>762755800.1</v>
      </c>
      <c r="H196" s="486" t="s">
        <v>314</v>
      </c>
    </row>
    <row r="197" spans="1:8">
      <c r="A197" s="497">
        <v>45962</v>
      </c>
      <c r="B197" s="498" t="s"/>
      <c r="C197" s="498" t="s"/>
      <c r="D197" s="498" t="s"/>
      <c r="E197" s="515" t="s">
        <v>209</v>
      </c>
      <c r="F197" s="500">
        <f>SUM(B197:E197)</f>
        <v>0</v>
      </c>
      <c r="G197" s="501">
        <f>G196+F197</f>
        <v>762755800.1</v>
      </c>
      <c r="H197" s="486" t="s"/>
    </row>
    <row r="198" spans="1:8">
      <c r="A198" s="497">
        <v>45963</v>
      </c>
      <c r="B198" s="498" t="s"/>
      <c r="C198" s="498" t="s"/>
      <c r="D198" s="498" t="s"/>
      <c r="E198" s="515" t="s">
        <v>209</v>
      </c>
      <c r="F198" s="500">
        <f>SUM(B198:E198)</f>
        <v>0</v>
      </c>
      <c r="G198" s="501">
        <f>G197+F198</f>
        <v>762755800.1</v>
      </c>
      <c r="H198" s="486" t="s"/>
    </row>
    <row r="199" spans="1:8">
      <c r="A199" s="497">
        <v>45964</v>
      </c>
      <c r="B199" s="518">
        <v>39257478.22</v>
      </c>
      <c r="C199" s="498" t="s"/>
      <c r="D199" s="523">
        <v>-71000000</v>
      </c>
      <c r="E199" s="527" t="s">
        <v>859</v>
      </c>
      <c r="F199" s="500">
        <f>SUM(B199:E199)</f>
        <v>-31742521.78</v>
      </c>
      <c r="G199" s="501">
        <f>G198+F199</f>
        <v>731013278.32</v>
      </c>
      <c r="H199" s="531" t="s"/>
    </row>
    <row r="200" spans="1:8">
      <c r="A200" s="497">
        <v>45965</v>
      </c>
      <c r="B200" s="498">
        <v>-40462512.74</v>
      </c>
      <c r="C200" s="498" t="s"/>
      <c r="D200" s="519">
        <v>112000000</v>
      </c>
      <c r="E200" s="524" t="s">
        <v>860</v>
      </c>
      <c r="F200" s="500">
        <f>SUM(B200:E200)</f>
        <v>71537487.26</v>
      </c>
      <c r="G200" s="501">
        <f>G199+F200</f>
        <v>802550765.58</v>
      </c>
      <c r="H200" s="531" t="s"/>
    </row>
    <row r="201" spans="1:8">
      <c r="A201" s="497">
        <v>45966</v>
      </c>
      <c r="B201" s="498">
        <v>-180750200.69</v>
      </c>
      <c r="C201" s="498">
        <v>-8697864.11</v>
      </c>
      <c r="D201" s="519">
        <v>55000000</v>
      </c>
      <c r="E201" s="524" t="s">
        <v>861</v>
      </c>
      <c r="F201" s="500">
        <f>SUM(B201:E201)</f>
        <v>-134448064.8</v>
      </c>
      <c r="G201" s="501">
        <f>G200+F201</f>
        <v>668102700.78</v>
      </c>
      <c r="H201" s="531" t="s"/>
    </row>
    <row r="202" spans="1:8">
      <c r="A202" s="497">
        <v>45967</v>
      </c>
      <c r="B202" s="532">
        <v>97029546.54</v>
      </c>
      <c r="C202" s="532">
        <v>-200</v>
      </c>
      <c r="D202" s="519">
        <v>55000000</v>
      </c>
      <c r="E202" s="533" t="s">
        <v>861</v>
      </c>
      <c r="F202" s="500">
        <f>SUM(B202:E202)</f>
        <v>152029346.54</v>
      </c>
      <c r="G202" s="501">
        <f>G201+F202</f>
        <v>820132047.32</v>
      </c>
      <c r="H202" s="531" t="s"/>
    </row>
    <row r="203" spans="1:8">
      <c r="A203" s="497">
        <v>45968</v>
      </c>
      <c r="B203" s="532">
        <v>-25971995.52</v>
      </c>
      <c r="D203" s="523">
        <v>-20000000</v>
      </c>
      <c r="E203" s="534" t="s">
        <v>862</v>
      </c>
      <c r="F203" s="500">
        <f>SUM(B203:E203)</f>
        <v>-45971995.52</v>
      </c>
      <c r="G203" s="501">
        <f>G202+F203</f>
        <v>774160051.8</v>
      </c>
      <c r="H203" s="531" t="s"/>
    </row>
    <row r="204" spans="1:8">
      <c r="A204" s="497">
        <v>45969</v>
      </c>
      <c r="E204" s="515" t="s">
        <v>209</v>
      </c>
      <c r="F204" s="500">
        <f>SUM(B204:E204)</f>
        <v>0</v>
      </c>
      <c r="G204" s="501">
        <f>G203+F204</f>
        <v>774160051.8</v>
      </c>
      <c r="H204" s="486" t="s"/>
    </row>
    <row r="205" spans="1:8">
      <c r="A205" s="497">
        <v>45970</v>
      </c>
      <c r="E205" s="515" t="s">
        <v>209</v>
      </c>
      <c r="F205" s="500">
        <f>SUM(B205:E205)</f>
        <v>0</v>
      </c>
      <c r="G205" s="501">
        <f>G204+F205</f>
        <v>774160051.8</v>
      </c>
      <c r="H205" s="486" t="s"/>
    </row>
    <row r="206" spans="1:8">
      <c r="A206" s="497">
        <v>45971</v>
      </c>
      <c r="B206" s="532">
        <v>10140697.4</v>
      </c>
      <c r="C206" s="532">
        <v>-300</v>
      </c>
      <c r="D206" s="519">
        <v>-10000000</v>
      </c>
      <c r="E206" s="524" t="s">
        <v>863</v>
      </c>
      <c r="F206" s="500">
        <f>SUM(B206:E206)</f>
        <v>140397.4</v>
      </c>
      <c r="G206" s="501">
        <f>G205+F206</f>
        <v>774300449.2</v>
      </c>
      <c r="H206" s="486" t="s"/>
    </row>
    <row r="207" spans="1:8">
      <c r="A207" s="497">
        <v>45972</v>
      </c>
      <c r="B207" s="532">
        <v>93876875.74</v>
      </c>
      <c r="D207" s="523">
        <v>-91000000</v>
      </c>
      <c r="E207" s="535" t="s">
        <v>864</v>
      </c>
      <c r="F207" s="500">
        <f>SUM(B207:E207)</f>
        <v>2876875.74</v>
      </c>
      <c r="G207" s="501">
        <f>G206+F207</f>
        <v>777177324.94</v>
      </c>
      <c r="H207" s="486" t="s">
        <v>865</v>
      </c>
    </row>
    <row r="208" spans="1:8">
      <c r="A208" s="497">
        <v>45973</v>
      </c>
      <c r="B208" s="532">
        <v>25500</v>
      </c>
      <c r="D208" s="519">
        <v>-41000000</v>
      </c>
      <c r="E208" s="536" t="s">
        <v>866</v>
      </c>
      <c r="F208" s="500">
        <f>SUM(B208:E208)</f>
        <v>-40974500</v>
      </c>
      <c r="G208" s="501">
        <f>G207+F208</f>
        <v>736202824.94</v>
      </c>
      <c r="H208" s="486" t="s"/>
    </row>
    <row r="209" spans="1:8">
      <c r="A209" s="497">
        <v>45974</v>
      </c>
      <c r="B209" s="532">
        <v>-30178026.16</v>
      </c>
      <c r="D209" s="519">
        <v>91000000</v>
      </c>
      <c r="E209" s="524" t="s">
        <v>867</v>
      </c>
      <c r="F209" s="500">
        <f>SUM(B209:E209)</f>
        <v>60821973.84</v>
      </c>
      <c r="G209" s="501">
        <f>G208+F209</f>
        <v>797024798.78</v>
      </c>
      <c r="H209" s="486" t="s"/>
    </row>
    <row r="210" spans="1:8">
      <c r="A210" s="497">
        <v>45975</v>
      </c>
      <c r="B210" s="532">
        <v>-14710</v>
      </c>
      <c r="D210" s="519">
        <v>-117000000</v>
      </c>
      <c r="E210" s="524" t="s">
        <v>868</v>
      </c>
      <c r="F210" s="500">
        <f>SUM(B210:E210)</f>
        <v>-117014710</v>
      </c>
      <c r="G210" s="501">
        <f>G209+F210</f>
        <v>680010088.78</v>
      </c>
      <c r="H210" s="486" t="s"/>
    </row>
    <row r="211" spans="1:8">
      <c r="A211" s="497">
        <v>45976</v>
      </c>
      <c r="E211" s="515" t="s">
        <v>209</v>
      </c>
      <c r="F211" s="500">
        <f>SUM(B211:E211)</f>
        <v>0</v>
      </c>
      <c r="G211" s="501">
        <f>G210+F211</f>
        <v>680010088.78</v>
      </c>
      <c r="H211" s="486" t="s"/>
    </row>
    <row r="212" spans="1:8">
      <c r="A212" s="497">
        <v>45977</v>
      </c>
      <c r="E212" s="515" t="s">
        <v>209</v>
      </c>
      <c r="F212" s="500">
        <f>SUM(B212:E212)</f>
        <v>0</v>
      </c>
      <c r="G212" s="501">
        <f>G211+F212</f>
        <v>680010088.78</v>
      </c>
      <c r="H212" s="486" t="s"/>
    </row>
    <row r="213" spans="1:8">
      <c r="A213" s="497">
        <v>45978</v>
      </c>
      <c r="B213" s="532">
        <v>10990373.56</v>
      </c>
      <c r="D213" s="519">
        <v>50000000</v>
      </c>
      <c r="E213" s="524" t="s">
        <v>869</v>
      </c>
      <c r="F213" s="500">
        <f>SUM(B213:E213)</f>
        <v>60990373.56</v>
      </c>
      <c r="G213" s="501">
        <f>G212+F213</f>
        <v>741000462.34</v>
      </c>
      <c r="H213" s="486" t="s"/>
    </row>
    <row r="214" spans="1:8">
      <c r="A214" s="497">
        <v>45979</v>
      </c>
      <c r="B214" s="532">
        <v>111057182.24</v>
      </c>
      <c r="D214" s="523">
        <v>-156000000</v>
      </c>
      <c r="E214" s="527" t="s">
        <v>870</v>
      </c>
      <c r="F214" s="500">
        <f>SUM(B214:E214)</f>
        <v>-44942817.76</v>
      </c>
      <c r="G214" s="501">
        <f>G213+F214</f>
        <v>696057644.58</v>
      </c>
      <c r="H214" s="486" t="s"/>
    </row>
    <row r="215" spans="1:8">
      <c r="A215" s="497">
        <v>45980</v>
      </c>
      <c r="C215" s="537">
        <v>-169000.01</v>
      </c>
      <c r="D215" s="519">
        <v>-20000000</v>
      </c>
      <c r="E215" s="524" t="s">
        <v>871</v>
      </c>
      <c r="F215" s="500">
        <f>SUM(B215:E215)</f>
        <v>-20169000.01</v>
      </c>
      <c r="G215" s="501">
        <f>G214+F215</f>
        <v>675888644.57</v>
      </c>
      <c r="H215" s="486" t="s"/>
    </row>
    <row r="216" spans="1:8">
      <c r="A216" s="497">
        <v>45981</v>
      </c>
      <c r="B216" s="532">
        <v>148000</v>
      </c>
      <c r="D216" s="519">
        <v>-82000000</v>
      </c>
      <c r="E216" s="524" t="s">
        <v>872</v>
      </c>
      <c r="F216" s="500">
        <f>SUM(B216:E216)</f>
        <v>-81852000</v>
      </c>
      <c r="G216" s="501">
        <f>G215+F216</f>
        <v>594036644.57</v>
      </c>
      <c r="H216" s="486" t="s"/>
    </row>
    <row r="217" spans="1:8">
      <c r="A217" s="497">
        <v>45982</v>
      </c>
      <c r="B217" s="532">
        <v>-72832561.65</v>
      </c>
      <c r="C217" s="532">
        <v>6986691.8</v>
      </c>
      <c r="D217" s="523">
        <v>71000000</v>
      </c>
      <c r="E217" s="527" t="s">
        <v>873</v>
      </c>
      <c r="F217" s="500">
        <f>SUM(B217:E217)</f>
        <v>5154130.14999999</v>
      </c>
      <c r="G217" s="501">
        <f>G216+F217</f>
        <v>599190774.72</v>
      </c>
      <c r="H217" s="486" t="s">
        <v>314</v>
      </c>
    </row>
    <row r="218" spans="1:8">
      <c r="A218" s="497">
        <v>45983</v>
      </c>
      <c r="F218" s="500">
        <f>SUM(B218:E218)</f>
        <v>0</v>
      </c>
      <c r="G218" s="501">
        <f>G217+F218</f>
        <v>599190774.72</v>
      </c>
      <c r="H218" s="486" t="s"/>
    </row>
    <row r="219" spans="1:8">
      <c r="A219" s="497">
        <v>45984</v>
      </c>
      <c r="C219" s="532" t="s"/>
      <c r="F219" s="500">
        <f>SUM(B219:E219)</f>
        <v>0</v>
      </c>
      <c r="G219" s="501">
        <f>G218+F219</f>
        <v>599190774.72</v>
      </c>
      <c r="H219" s="486" t="s"/>
    </row>
    <row r="220" spans="1:8">
      <c r="A220" s="497">
        <v>45985</v>
      </c>
      <c r="B220" s="519">
        <v>78962150.68</v>
      </c>
      <c r="C220" s="532">
        <v>-160000.01</v>
      </c>
      <c r="D220" s="519">
        <v>-10000000</v>
      </c>
      <c r="F220" s="500">
        <f>SUM(B220:E220)</f>
        <v>68802150.67</v>
      </c>
      <c r="G220" s="501">
        <f>G219+F220</f>
        <v>667992925.39</v>
      </c>
      <c r="H220" s="486" t="s"/>
    </row>
    <row r="221" spans="1:8">
      <c r="A221" s="497">
        <v>45986</v>
      </c>
      <c r="B221" s="519">
        <v>30174641.1</v>
      </c>
      <c r="D221" s="519">
        <v>-51000000</v>
      </c>
      <c r="F221" s="500">
        <f>SUM(B221:E221)</f>
        <v>-20825358.9</v>
      </c>
      <c r="G221" s="501">
        <f>G220+F221</f>
        <v>647167566.49</v>
      </c>
      <c r="H221" s="486" t="s"/>
    </row>
    <row r="222" spans="1:8">
      <c r="A222" s="497">
        <v>45987</v>
      </c>
      <c r="B222" s="519">
        <v>67587973.15</v>
      </c>
      <c r="D222" s="519">
        <v>-118000000</v>
      </c>
      <c r="F222" s="500">
        <f>SUM(B222:E222)</f>
        <v>-50412026.85</v>
      </c>
      <c r="G222" s="501">
        <f>G221+F222</f>
        <v>596755539.64</v>
      </c>
      <c r="H222" s="486" t="s"/>
    </row>
    <row r="223" spans="1:8">
      <c r="A223" s="497">
        <v>45988</v>
      </c>
      <c r="B223" s="519">
        <v>45852937.39</v>
      </c>
      <c r="D223" s="519">
        <v>-5000000</v>
      </c>
      <c r="F223" s="500">
        <f>SUM(B223:E223)</f>
        <v>40852937.39</v>
      </c>
      <c r="G223" s="501">
        <f>G222+F223</f>
        <v>637608477.03</v>
      </c>
      <c r="H223" s="486" t="s">
        <v>314</v>
      </c>
    </row>
    <row r="224" spans="1:8">
      <c r="A224" s="497">
        <v>45989</v>
      </c>
      <c r="B224" s="519">
        <v>-28186395.13</v>
      </c>
      <c r="D224" s="519">
        <v>-71000000</v>
      </c>
      <c r="F224" s="500">
        <f>SUM(B224:E224)</f>
        <v>-99186395.13</v>
      </c>
      <c r="G224" s="501">
        <f>G223+F224</f>
        <v>538422081.9</v>
      </c>
      <c r="H224" s="486" t="s">
        <v>314</v>
      </c>
    </row>
    <row r="225" spans="1:8">
      <c r="A225" s="497">
        <v>45990</v>
      </c>
      <c r="B225" s="519" t="s"/>
      <c r="D225" s="519" t="s"/>
      <c r="F225" s="500">
        <f>SUM(B225:E225)</f>
        <v>0</v>
      </c>
      <c r="G225" s="501">
        <f>G224+F225</f>
        <v>538422081.9</v>
      </c>
      <c r="H225" s="486" t="s"/>
    </row>
    <row r="226" spans="1:8">
      <c r="A226" s="497">
        <v>45991</v>
      </c>
      <c r="B226" s="519" t="s"/>
      <c r="D226" s="519" t="s"/>
      <c r="F226" s="500">
        <f>SUM(B226:E226)</f>
        <v>0</v>
      </c>
      <c r="G226" s="501">
        <f>G225+F226</f>
        <v>538422081.9</v>
      </c>
      <c r="H226" s="486" t="s"/>
    </row>
    <row r="227" spans="1:8">
      <c r="A227" s="497">
        <v>45992</v>
      </c>
      <c r="B227" s="519">
        <v>89996060</v>
      </c>
      <c r="C227" s="538" t="s">
        <v>209</v>
      </c>
      <c r="D227" s="538">
        <v>-10000000</v>
      </c>
      <c r="F227" s="500">
        <f>SUM(B227:E227)</f>
        <v>79996060</v>
      </c>
      <c r="G227" s="501">
        <f>G226+F227</f>
        <v>618418141.9</v>
      </c>
      <c r="H227" s="486" t="s"/>
    </row>
    <row r="228" spans="1:8">
      <c r="A228" s="497">
        <v>45993</v>
      </c>
      <c r="B228" s="519">
        <v>20109661.78</v>
      </c>
      <c r="C228" s="538">
        <v>-119100</v>
      </c>
      <c r="D228" s="538">
        <v>55000000</v>
      </c>
      <c r="F228" s="500">
        <f>SUM(B228:E228)</f>
        <v>74990561.78</v>
      </c>
      <c r="G228" s="501">
        <f>G227+F228</f>
        <v>693408703.68</v>
      </c>
      <c r="H228" s="486" t="s"/>
    </row>
    <row r="229" spans="1:8">
      <c r="A229" s="497">
        <v>45994</v>
      </c>
      <c r="B229" s="519">
        <v>-25894493.97</v>
      </c>
      <c r="C229" s="538">
        <v>14329052.05</v>
      </c>
      <c r="D229" s="538">
        <v>56000000</v>
      </c>
      <c r="F229" s="500">
        <f>SUM(B229:E229)</f>
        <v>44434558.08</v>
      </c>
      <c r="G229" s="501">
        <f>G228+F229</f>
        <v>737843261.76</v>
      </c>
      <c r="H229" s="486" t="s"/>
    </row>
    <row r="230" spans="1:8">
      <c r="A230" s="497">
        <v>45995</v>
      </c>
      <c r="B230" s="519">
        <v>59694741.23</v>
      </c>
      <c r="C230" s="538" t="s">
        <v>209</v>
      </c>
      <c r="D230" s="538">
        <v>24000000</v>
      </c>
      <c r="F230" s="500">
        <f>SUM(B230:E230)</f>
        <v>83694741.23</v>
      </c>
      <c r="G230" s="501">
        <f>G229+F230</f>
        <v>821538002.99</v>
      </c>
      <c r="H230" s="486" t="s"/>
    </row>
    <row r="231" spans="1:8">
      <c r="A231" s="497">
        <v>45996</v>
      </c>
      <c r="B231" s="519">
        <v>68109013.7</v>
      </c>
      <c r="C231" s="538">
        <v>20403245.2</v>
      </c>
      <c r="D231" s="538" t="s">
        <v>213</v>
      </c>
      <c r="F231" s="500">
        <f>SUM(B231:E231)</f>
        <v>88512258.9</v>
      </c>
      <c r="G231" s="501">
        <f>G230+F231</f>
        <v>910050261.89</v>
      </c>
      <c r="H231" s="486" t="s"/>
    </row>
    <row r="232" spans="1:8">
      <c r="A232" s="497">
        <v>45997</v>
      </c>
      <c r="B232" s="519" t="s">
        <v>209</v>
      </c>
      <c r="C232" s="538" t="s">
        <v>209</v>
      </c>
      <c r="D232" s="538" t="s">
        <v>209</v>
      </c>
      <c r="F232" s="500">
        <f>SUM(B232:E232)</f>
        <v>0</v>
      </c>
      <c r="G232" s="501">
        <f>G231+F232</f>
        <v>910050261.89</v>
      </c>
      <c r="H232" s="486" t="s"/>
    </row>
    <row r="233" spans="1:8">
      <c r="A233" s="497">
        <v>45998</v>
      </c>
      <c r="B233" s="519" t="s">
        <v>209</v>
      </c>
      <c r="C233" s="538" t="s">
        <v>209</v>
      </c>
      <c r="D233" s="538" t="s">
        <v>209</v>
      </c>
      <c r="F233" s="500">
        <f>SUM(B233:E233)</f>
        <v>0</v>
      </c>
      <c r="G233" s="501">
        <f>G232+F233</f>
        <v>910050261.89</v>
      </c>
      <c r="H233" s="486" t="s"/>
    </row>
    <row r="234" spans="1:8">
      <c r="A234" s="497">
        <v>45999</v>
      </c>
      <c r="B234" s="519" t="s">
        <v>209</v>
      </c>
      <c r="C234" s="538" t="s">
        <v>209</v>
      </c>
      <c r="D234" s="538">
        <v>-40000000</v>
      </c>
      <c r="F234" s="500">
        <f>SUM(B234:E234)</f>
        <v>-40000000</v>
      </c>
      <c r="G234" s="501">
        <f>G233+F234</f>
        <v>870050261.89</v>
      </c>
      <c r="H234" s="486" t="s"/>
    </row>
    <row r="235" spans="1:8">
      <c r="A235" s="497">
        <v>46000</v>
      </c>
      <c r="B235" s="519">
        <v>-11234406.58</v>
      </c>
      <c r="C235" s="538">
        <v>64004552.32</v>
      </c>
      <c r="D235" s="538">
        <v>13000000</v>
      </c>
      <c r="F235" s="500">
        <f>SUM(B235:E235)</f>
        <v>65770145.74</v>
      </c>
      <c r="G235" s="501">
        <f>G234+F235</f>
        <v>935820407.63</v>
      </c>
      <c r="H235" s="486" t="s"/>
    </row>
    <row r="236" spans="1:8">
      <c r="A236" s="497">
        <v>46001</v>
      </c>
      <c r="B236" s="519">
        <v>89891577.66</v>
      </c>
      <c r="C236" s="538">
        <v>-63552951.5</v>
      </c>
      <c r="D236" s="538">
        <v>20000000</v>
      </c>
      <c r="F236" s="500">
        <f>SUM(B236:E236)</f>
        <v>46338626.16</v>
      </c>
      <c r="G236" s="501">
        <f>G235+F236</f>
        <v>982159033.79</v>
      </c>
      <c r="H236" s="486" t="s"/>
    </row>
    <row r="237" spans="1:8">
      <c r="A237" s="497">
        <v>46002</v>
      </c>
      <c r="B237" s="519">
        <v>-5221562.19</v>
      </c>
      <c r="C237" s="538" t="s">
        <v>213</v>
      </c>
      <c r="D237" s="538">
        <v>-24000000</v>
      </c>
      <c r="F237" s="500">
        <f>SUM(B237:E237)</f>
        <v>-29221562.19</v>
      </c>
      <c r="G237" s="501">
        <f>G236+F237</f>
        <v>952937471.599999</v>
      </c>
      <c r="H237" s="486" t="s"/>
    </row>
    <row r="238" spans="1:8">
      <c r="A238" s="497">
        <v>46003</v>
      </c>
      <c r="B238" s="519">
        <v>-10130396.58</v>
      </c>
      <c r="C238" s="538" t="s">
        <v>213</v>
      </c>
      <c r="D238" s="538">
        <v>-33000000</v>
      </c>
      <c r="F238" s="500">
        <f>SUM(B238:E238)</f>
        <v>-43130396.58</v>
      </c>
      <c r="G238" s="501">
        <f>G237+F238</f>
        <v>909807075.019999</v>
      </c>
      <c r="H238" s="486" t="s"/>
    </row>
    <row r="239" spans="1:8">
      <c r="A239" s="497">
        <v>46004</v>
      </c>
      <c r="B239" s="519" t="s">
        <v>209</v>
      </c>
      <c r="C239" s="538" t="s">
        <v>209</v>
      </c>
      <c r="D239" s="538" t="s">
        <v>209</v>
      </c>
      <c r="F239" s="500">
        <f>SUM(B239:E239)</f>
        <v>0</v>
      </c>
      <c r="G239" s="501">
        <f>G238+F239</f>
        <v>909807075.019999</v>
      </c>
      <c r="H239" s="486" t="s"/>
    </row>
    <row r="240" spans="1:8">
      <c r="A240" s="497">
        <v>46005</v>
      </c>
      <c r="B240" s="519" t="s">
        <v>209</v>
      </c>
      <c r="C240" s="538" t="s">
        <v>209</v>
      </c>
      <c r="D240" s="538" t="s">
        <v>209</v>
      </c>
      <c r="F240" s="500">
        <f>SUM(B240:E240)</f>
        <v>0</v>
      </c>
      <c r="G240" s="501">
        <f>G239+F240</f>
        <v>909807075.019999</v>
      </c>
      <c r="H240" s="486" t="s"/>
    </row>
    <row r="241" spans="1:8">
      <c r="A241" s="497">
        <v>46006</v>
      </c>
      <c r="B241" s="519">
        <v>-17450</v>
      </c>
      <c r="C241" s="538">
        <v>-14342742.47</v>
      </c>
      <c r="D241" s="538">
        <v>61000000</v>
      </c>
      <c r="F241" s="500">
        <f>SUM(B241:E241)</f>
        <v>46639807.53</v>
      </c>
      <c r="G241" s="501">
        <f>G240+F241</f>
        <v>956446882.549999</v>
      </c>
      <c r="H241" s="486" t="s"/>
    </row>
    <row r="242" spans="1:8">
      <c r="A242" s="497">
        <v>46007</v>
      </c>
      <c r="B242" s="519">
        <v>82340192.46</v>
      </c>
      <c r="C242" s="538">
        <v>-200</v>
      </c>
      <c r="D242" s="538">
        <v>-59000000</v>
      </c>
      <c r="F242" s="500">
        <f>SUM(B242:E242)</f>
        <v>23339992.46</v>
      </c>
      <c r="G242" s="501">
        <f>G241+F242</f>
        <v>979786875.009999</v>
      </c>
      <c r="H242" s="486" t="s"/>
    </row>
    <row r="243" spans="1:8">
      <c r="A243" s="497">
        <v>46008</v>
      </c>
      <c r="B243" s="519">
        <v>54827924.39</v>
      </c>
      <c r="C243" s="538" t="s">
        <v>213</v>
      </c>
      <c r="D243" s="538">
        <v>-99000000</v>
      </c>
      <c r="F243" s="500">
        <f>SUM(B243:E243)</f>
        <v>-44172075.61</v>
      </c>
      <c r="G243" s="501">
        <f>G242+F243</f>
        <v>935614799.399999</v>
      </c>
      <c r="H243" s="486" t="s"/>
    </row>
    <row r="244" spans="1:8">
      <c r="A244" s="497">
        <v>46009</v>
      </c>
      <c r="B244" s="519">
        <v>-66870951.78</v>
      </c>
      <c r="C244" s="538">
        <v>-17487043.84</v>
      </c>
      <c r="D244" s="538">
        <v>69000000</v>
      </c>
      <c r="F244" s="500">
        <f>SUM(B244:E244)</f>
        <v>-15357995.62</v>
      </c>
      <c r="G244" s="501">
        <f>G243+F244</f>
        <v>920256803.779999</v>
      </c>
      <c r="H244" s="486" t="s"/>
    </row>
    <row r="245" spans="1:8">
      <c r="A245" s="497">
        <v>46010</v>
      </c>
      <c r="B245" s="519">
        <v>-1920</v>
      </c>
      <c r="C245" s="538" t="s">
        <v>209</v>
      </c>
      <c r="D245" s="538">
        <v>27000000</v>
      </c>
      <c r="F245" s="500">
        <f>SUM(B245:E245)</f>
        <v>26998080</v>
      </c>
      <c r="G245" s="501">
        <f>G244+F245</f>
        <v>947254883.779999</v>
      </c>
      <c r="H245" s="486" t="s"/>
    </row>
    <row r="246" spans="1:8">
      <c r="A246" s="497">
        <v>46011</v>
      </c>
      <c r="B246" s="519" t="s">
        <v>209</v>
      </c>
      <c r="C246" s="538" t="s">
        <v>209</v>
      </c>
      <c r="D246" s="538" t="s">
        <v>209</v>
      </c>
      <c r="F246" s="500">
        <f>SUM(B246:E246)</f>
        <v>0</v>
      </c>
      <c r="G246" s="501">
        <f>G245+F246</f>
        <v>947254883.779999</v>
      </c>
      <c r="H246" s="486" t="s"/>
    </row>
    <row r="247" spans="1:8">
      <c r="A247" s="497">
        <v>46012</v>
      </c>
      <c r="B247" s="519" t="s">
        <v>209</v>
      </c>
      <c r="C247" s="538" t="s">
        <v>209</v>
      </c>
      <c r="D247" s="538" t="s">
        <v>209</v>
      </c>
      <c r="F247" s="500">
        <f>SUM(B247:E247)</f>
        <v>0</v>
      </c>
      <c r="G247" s="501">
        <f>G246+F247</f>
        <v>947254883.779999</v>
      </c>
      <c r="H247" s="486" t="s"/>
    </row>
    <row r="248" spans="1:8">
      <c r="A248" s="497">
        <v>46013</v>
      </c>
      <c r="B248" s="519">
        <v>122890</v>
      </c>
      <c r="C248" s="538" t="s">
        <v>209</v>
      </c>
      <c r="D248" s="538">
        <v>-39000000</v>
      </c>
      <c r="F248" s="500">
        <f>SUM(B248:E248)</f>
        <v>-38877110</v>
      </c>
      <c r="G248" s="501">
        <f>G247+F248</f>
        <v>908377773.779999</v>
      </c>
      <c r="H248" s="486" t="s"/>
    </row>
    <row r="249" spans="1:8">
      <c r="A249" s="497">
        <v>46014</v>
      </c>
      <c r="B249" s="519">
        <v>113741625.76</v>
      </c>
      <c r="C249" s="538" t="s">
        <v>209</v>
      </c>
      <c r="D249" s="538">
        <v>-56000000</v>
      </c>
      <c r="F249" s="500">
        <f>SUM(B249:E249)</f>
        <v>57741625.76</v>
      </c>
      <c r="G249" s="501">
        <f>G248+F249</f>
        <v>966119399.539999</v>
      </c>
      <c r="H249" s="486" t="s"/>
    </row>
    <row r="250" spans="1:8">
      <c r="A250" s="497">
        <v>46015</v>
      </c>
      <c r="B250" s="519">
        <v>90760195.35</v>
      </c>
      <c r="C250" s="519">
        <v>-10159942.47</v>
      </c>
      <c r="D250" s="519">
        <v>-60000000</v>
      </c>
      <c r="F250" s="500">
        <f>SUM(B250:E250)</f>
        <v>20600252.88</v>
      </c>
      <c r="G250" s="501">
        <f>G249+F250</f>
        <v>986719652.419999</v>
      </c>
      <c r="H250" s="486" t="s"/>
    </row>
    <row r="251" spans="1:8">
      <c r="A251" s="497">
        <v>46016</v>
      </c>
      <c r="B251" s="519">
        <v>29903718.62</v>
      </c>
      <c r="C251" s="519">
        <v>-32468769.87</v>
      </c>
      <c r="D251" s="519">
        <v>5000000</v>
      </c>
      <c r="F251" s="500">
        <f>SUM(B251:E251)</f>
        <v>2434948.75</v>
      </c>
      <c r="G251" s="501">
        <f>G250+F251</f>
        <v>989154601.169999</v>
      </c>
      <c r="H251" s="486" t="s">
        <v>314</v>
      </c>
    </row>
    <row r="252" spans="1:8">
      <c r="A252" s="497">
        <v>46017</v>
      </c>
      <c r="B252" s="519">
        <v>-47633523.7</v>
      </c>
      <c r="C252" s="519">
        <v>-500</v>
      </c>
      <c r="D252" s="519">
        <v>13000000</v>
      </c>
      <c r="F252" s="500">
        <f>SUM(B252:E252)</f>
        <v>-34634023.7</v>
      </c>
      <c r="G252" s="501">
        <f>G251+F252</f>
        <v>954520577.469999</v>
      </c>
      <c r="H252" s="486" t="s"/>
    </row>
    <row r="253" spans="1:8">
      <c r="A253" s="497">
        <v>46018</v>
      </c>
      <c r="B253" s="519" t="s"/>
      <c r="C253" s="519" t="s"/>
      <c r="D253" s="519" t="s">
        <v>209</v>
      </c>
      <c r="F253" s="500">
        <f>SUM(B253:E253)</f>
        <v>0</v>
      </c>
      <c r="G253" s="501">
        <f>G252+F253</f>
        <v>954520577.469999</v>
      </c>
      <c r="H253" s="486" t="s"/>
    </row>
    <row r="254" spans="1:8">
      <c r="A254" s="497">
        <v>46019</v>
      </c>
      <c r="B254" s="519" t="s"/>
      <c r="C254" s="519" t="s"/>
      <c r="D254" s="519" t="s">
        <v>209</v>
      </c>
      <c r="F254" s="500">
        <f>SUM(B254:E254)</f>
        <v>0</v>
      </c>
      <c r="G254" s="501">
        <f>G253+F254</f>
        <v>954520577.469999</v>
      </c>
      <c r="H254" s="486" t="s"/>
    </row>
    <row r="255" spans="1:8">
      <c r="A255" s="497">
        <v>46020</v>
      </c>
      <c r="B255" s="539" t="s"/>
      <c r="C255" s="519" t="s"/>
      <c r="D255" s="519">
        <v>40000000</v>
      </c>
      <c r="F255" s="500">
        <f>SUM(B255:E255)</f>
        <v>40000000</v>
      </c>
      <c r="G255" s="501">
        <f>G254+F255</f>
        <v>994520577.469999</v>
      </c>
      <c r="H255" s="486" t="s">
        <v>874</v>
      </c>
    </row>
    <row r="256" spans="1:8">
      <c r="A256" s="497">
        <v>46021</v>
      </c>
      <c r="B256" s="540">
        <f>-180041530+200000000</f>
        <v>19958470</v>
      </c>
      <c r="C256" s="519" t="s"/>
      <c r="D256" s="519">
        <v>-23000000</v>
      </c>
      <c r="F256" s="500">
        <f>SUM(B256:E256)</f>
        <v>-3041530</v>
      </c>
      <c r="G256" s="501">
        <f>G255+F256</f>
        <v>991479047.469999</v>
      </c>
      <c r="H256" s="486" t="s">
        <v>875</v>
      </c>
    </row>
    <row r="257" spans="1:8">
      <c r="A257" s="497">
        <v>46022</v>
      </c>
      <c r="B257" s="519" t="s"/>
      <c r="C257" s="519" t="s"/>
      <c r="D257" s="519">
        <v>-16000000</v>
      </c>
      <c r="F257" s="500">
        <f>SUM(B257:E257)</f>
        <v>-16000000</v>
      </c>
      <c r="G257" s="501">
        <f>G256+F257</f>
        <v>975479047.469999</v>
      </c>
      <c r="H257" s="486" t="s">
        <v>314</v>
      </c>
    </row>
    <row r="258" spans="8:8">
      <c r="H258" s="486" t="s"/>
    </row>
    <row r="259" spans="8:8">
      <c r="H259" s="486" t="s"/>
    </row>
    <row r="260" spans="8:8">
      <c r="H260" s="486" t="s"/>
    </row>
    <row r="261" spans="8:8">
      <c r="H261" s="486" t="s"/>
    </row>
    <row r="262" spans="8:8">
      <c r="H262" s="486" t="s"/>
    </row>
    <row r="263" spans="8:8">
      <c r="H263" s="486" t="s"/>
    </row>
    <row r="264" spans="8:8">
      <c r="H264" s="486" t="s"/>
    </row>
    <row r="265" spans="8:8">
      <c r="H265" s="486" t="s"/>
    </row>
    <row r="266" spans="8:8">
      <c r="H266" s="486" t="s"/>
    </row>
    <row r="267" spans="8:8">
      <c r="H267" s="486" t="s"/>
    </row>
    <row r="268" spans="8:8">
      <c r="H268" s="486" t="s"/>
    </row>
    <row r="269" spans="8:8">
      <c r="H269" s="486" t="s"/>
    </row>
    <row r="270" spans="8:8">
      <c r="H270" s="486" t="s"/>
    </row>
    <row r="271" spans="8:8">
      <c r="H271" s="486" t="s"/>
    </row>
    <row r="272" spans="8:8">
      <c r="H272" s="486" t="s"/>
    </row>
    <row r="273" spans="8:8">
      <c r="H273" s="486" t="s"/>
    </row>
    <row r="274" spans="8:8">
      <c r="H274" s="486" t="s"/>
    </row>
    <row r="275" spans="8:8">
      <c r="H275" s="486" t="s"/>
    </row>
    <row r="276" spans="8:8">
      <c r="H276" s="486" t="s"/>
    </row>
    <row r="277" spans="8:8">
      <c r="H277" s="486" t="s"/>
    </row>
    <row r="278" spans="8:8">
      <c r="H278" s="486" t="s"/>
    </row>
    <row r="279" spans="8:8">
      <c r="H279" s="486" t="s"/>
    </row>
    <row r="280" spans="8:8">
      <c r="H280" s="486" t="s"/>
    </row>
    <row r="281" spans="8:8">
      <c r="H281" s="486" t="s"/>
    </row>
    <row r="282" spans="8:8">
      <c r="H282" s="486" t="s"/>
    </row>
    <row r="283" spans="8:8">
      <c r="H283" s="486" t="s"/>
    </row>
    <row r="284" spans="8:8">
      <c r="H284" s="486" t="s"/>
    </row>
    <row r="285" spans="8:8">
      <c r="H285" s="486" t="s"/>
    </row>
    <row r="286" spans="8:8">
      <c r="H286" s="486" t="s"/>
    </row>
    <row r="287" spans="8:8">
      <c r="H287" s="486" t="s"/>
    </row>
    <row r="288" spans="8:8">
      <c r="H288" s="486" t="s"/>
    </row>
    <row r="289" spans="8:8">
      <c r="H289" s="486" t="s"/>
    </row>
    <row r="290" spans="8:8">
      <c r="H290" s="486" t="s"/>
    </row>
    <row r="291" spans="8:8">
      <c r="H291" s="486" t="s"/>
    </row>
    <row r="292" spans="8:8">
      <c r="H292" s="486" t="s"/>
    </row>
    <row r="293" spans="8:8">
      <c r="H293" s="486" t="s"/>
    </row>
    <row r="294" spans="8:8">
      <c r="H294" s="486" t="s"/>
    </row>
    <row r="295" spans="8:8">
      <c r="H295" s="486" t="s"/>
    </row>
    <row r="296" spans="8:8">
      <c r="H296" s="486" t="s"/>
    </row>
    <row r="297" spans="8:8">
      <c r="H297" s="486" t="s"/>
    </row>
    <row r="298" spans="8:8">
      <c r="H298" s="486" t="s"/>
    </row>
    <row r="299" spans="8:8">
      <c r="H299" s="486" t="s"/>
    </row>
    <row r="300" spans="8:8">
      <c r="H300" s="486" t="s"/>
    </row>
    <row r="301" spans="8:8">
      <c r="H301" s="486" t="s"/>
    </row>
    <row r="302" spans="8:8">
      <c r="H302" s="486" t="s"/>
    </row>
    <row r="303" spans="8:8">
      <c r="H303" s="486" t="s"/>
    </row>
    <row r="304" spans="8:8">
      <c r="H304" s="486" t="s"/>
    </row>
    <row r="305" spans="8:8">
      <c r="H305" s="486" t="s"/>
    </row>
    <row r="306" spans="8:8">
      <c r="H306" s="486" t="s"/>
    </row>
    <row r="307" spans="8:8">
      <c r="H307" s="486" t="s"/>
    </row>
    <row r="308" spans="8:8">
      <c r="H308" s="486" t="s"/>
    </row>
    <row r="309" spans="8:8">
      <c r="H309" s="486" t="s"/>
    </row>
    <row r="310" spans="8:8">
      <c r="H310" s="486" t="s"/>
    </row>
    <row r="311" spans="8:8">
      <c r="H311" s="486" t="s"/>
    </row>
    <row r="312" spans="8:8">
      <c r="H312" s="486" t="s"/>
    </row>
    <row r="313" spans="8:8">
      <c r="H313" s="486" t="s"/>
    </row>
    <row r="314" spans="8:8">
      <c r="H314" s="486" t="s"/>
    </row>
    <row r="315" spans="8:8">
      <c r="H315" s="486" t="s"/>
    </row>
    <row r="316" spans="8:8">
      <c r="H316" s="486" t="s"/>
    </row>
    <row r="317" spans="8:8">
      <c r="H317" s="486" t="s"/>
    </row>
    <row r="318" spans="8:8">
      <c r="H318" s="486" t="s"/>
    </row>
    <row r="319" spans="8:8">
      <c r="H319" s="486" t="s"/>
    </row>
    <row r="320" spans="8:8">
      <c r="H320" s="486" t="s"/>
    </row>
    <row r="321" spans="8:8">
      <c r="H321" s="486" t="s"/>
    </row>
    <row r="322" spans="8:8">
      <c r="H322" s="486" t="s"/>
    </row>
    <row r="323" spans="8:8">
      <c r="H323" s="486" t="s"/>
    </row>
    <row r="324" spans="8:8">
      <c r="H324" s="486" t="s"/>
    </row>
    <row r="325" spans="8:8">
      <c r="H325" s="486" t="s"/>
    </row>
    <row r="326" spans="8:8">
      <c r="H326" s="486" t="s"/>
    </row>
    <row r="327" spans="8:8">
      <c r="H327" s="486" t="s"/>
    </row>
    <row r="328" spans="8:8">
      <c r="H328" s="486" t="s"/>
    </row>
    <row r="329" spans="8:8">
      <c r="H329" s="486" t="s"/>
    </row>
    <row r="330" spans="8:8">
      <c r="H330" s="486" t="s"/>
    </row>
    <row r="331" spans="8:8">
      <c r="H331" s="486" t="s"/>
    </row>
    <row r="332" spans="8:8">
      <c r="H332" s="486" t="s"/>
    </row>
    <row r="333" spans="8:8">
      <c r="H333" s="486" t="s"/>
    </row>
    <row r="334" spans="8:8">
      <c r="H334" s="486" t="s"/>
    </row>
    <row r="335" spans="8:8">
      <c r="H335" s="486" t="s"/>
    </row>
    <row r="336" spans="8:8">
      <c r="H336" s="486" t="s"/>
    </row>
    <row r="337" spans="8:8">
      <c r="H337" s="486" t="s"/>
    </row>
    <row r="338" spans="8:8">
      <c r="H338" s="486" t="s"/>
    </row>
    <row r="339" spans="8:8">
      <c r="H339" s="486" t="s"/>
    </row>
    <row r="340" spans="8:8">
      <c r="H340" s="486" t="s"/>
    </row>
    <row r="341" spans="8:8">
      <c r="H341" s="486" t="s"/>
    </row>
    <row r="342" spans="8:8">
      <c r="H342" s="486" t="s"/>
    </row>
    <row r="343" spans="8:8">
      <c r="H343" s="486" t="s"/>
    </row>
    <row r="344" spans="8:8">
      <c r="H344" s="486" t="s"/>
    </row>
    <row r="345" spans="8:8">
      <c r="H345" s="486" t="s"/>
    </row>
    <row r="346" spans="8:8">
      <c r="H346" s="486" t="s"/>
    </row>
    <row r="347" spans="8:8">
      <c r="H347" s="486" t="s"/>
    </row>
    <row r="348" spans="8:8">
      <c r="H348" s="486" t="s"/>
    </row>
    <row r="349" spans="8:8">
      <c r="H349" s="486" t="s"/>
    </row>
    <row r="350" spans="8:8">
      <c r="H350" s="486" t="s"/>
    </row>
    <row r="351" spans="8:8">
      <c r="H351" s="486" t="s"/>
    </row>
    <row r="352" spans="8:8">
      <c r="H352" s="486" t="s"/>
    </row>
    <row r="353" spans="8:8">
      <c r="H353" s="486" t="s"/>
    </row>
    <row r="354" spans="8:8">
      <c r="H354" s="486" t="s"/>
    </row>
    <row r="355" spans="8:8">
      <c r="H355" s="486" t="s"/>
    </row>
    <row r="356" spans="8:8">
      <c r="H356" s="486" t="s"/>
    </row>
    <row r="357" spans="8:8">
      <c r="H357" s="486" t="s"/>
    </row>
    <row r="358" spans="8:8">
      <c r="H358" s="486" t="s"/>
    </row>
    <row r="359" spans="8:8">
      <c r="H359" s="486" t="s"/>
    </row>
    <row r="360" spans="8:8">
      <c r="H360" s="486" t="s"/>
    </row>
    <row r="361" spans="8:8">
      <c r="H361" s="486" t="s"/>
    </row>
    <row r="362" spans="8:8">
      <c r="H362" s="486" t="s"/>
    </row>
    <row r="363" spans="8:8">
      <c r="H363" s="486" t="s"/>
    </row>
    <row r="364" spans="8:8">
      <c r="H364" s="486" t="s"/>
    </row>
    <row r="365" spans="8:8">
      <c r="H365" s="486" t="s"/>
    </row>
    <row r="366" spans="8:8">
      <c r="H366" s="486" t="s"/>
    </row>
    <row r="367" spans="8:8">
      <c r="H367" s="486" t="s"/>
    </row>
    <row r="368" spans="8:8">
      <c r="H368" s="486" t="s"/>
    </row>
    <row r="369" spans="8:8">
      <c r="H369" s="486" t="s"/>
    </row>
    <row r="370" spans="8:8">
      <c r="H370" s="486" t="s"/>
    </row>
    <row r="371" spans="8:8">
      <c r="H371" s="486" t="s"/>
    </row>
    <row r="372" spans="8:8">
      <c r="H372" s="486" t="s"/>
    </row>
    <row r="373" spans="8:8">
      <c r="H373" s="486" t="s"/>
    </row>
    <row r="374" spans="8:8">
      <c r="H374" s="486" t="s"/>
    </row>
    <row r="375" spans="8:8">
      <c r="H375" s="486" t="s"/>
    </row>
    <row r="376" spans="8:8">
      <c r="H376" s="486" t="s"/>
    </row>
    <row r="377" spans="8:8">
      <c r="H377" s="486" t="s"/>
    </row>
    <row r="378" spans="8:8">
      <c r="H378" s="486" t="s"/>
    </row>
    <row r="379" spans="8:8">
      <c r="H379" s="486" t="s"/>
    </row>
    <row r="380" spans="8:8">
      <c r="H380" s="486" t="s"/>
    </row>
    <row r="381" spans="8:8">
      <c r="H381" s="486" t="s"/>
    </row>
    <row r="382" spans="8:8">
      <c r="H382" s="486" t="s"/>
    </row>
    <row r="383" spans="8:8">
      <c r="H383" s="486" t="s"/>
    </row>
    <row r="384" spans="8:8">
      <c r="H384" s="486" t="s"/>
    </row>
    <row r="385" spans="8:8">
      <c r="H385" s="486" t="s"/>
    </row>
    <row r="386" spans="8:8">
      <c r="H386" s="486" t="s"/>
    </row>
    <row r="387" spans="8:8">
      <c r="H387" s="486" t="s"/>
    </row>
    <row r="388" spans="8:8">
      <c r="H388" s="486" t="s"/>
    </row>
    <row r="389" spans="8:8">
      <c r="H389" s="486" t="s"/>
    </row>
    <row r="390" spans="8:8">
      <c r="H390" s="486" t="s"/>
    </row>
    <row r="391" spans="8:8">
      <c r="H391" s="486" t="s"/>
    </row>
    <row r="392" spans="8:8">
      <c r="H392" s="486" t="s"/>
    </row>
    <row r="393" spans="8:8">
      <c r="H393" s="486" t="s"/>
    </row>
    <row r="394" spans="8:8">
      <c r="H394" s="486" t="s"/>
    </row>
    <row r="395" spans="8:8">
      <c r="H395" s="486" t="s"/>
    </row>
    <row r="396" spans="8:8">
      <c r="H396" s="486" t="s"/>
    </row>
    <row r="397" spans="8:8">
      <c r="H397" s="486" t="s"/>
    </row>
    <row r="398" spans="8:8">
      <c r="H398" s="486" t="s"/>
    </row>
    <row r="399" spans="8:8">
      <c r="H399" s="486" t="s"/>
    </row>
    <row r="400" spans="8:8">
      <c r="H400" s="486" t="s"/>
    </row>
    <row r="401" spans="8:8">
      <c r="H401" s="486" t="s"/>
    </row>
    <row r="402" spans="8:8">
      <c r="H402" s="486" t="s"/>
    </row>
    <row r="403" spans="8:8">
      <c r="H403" s="486" t="s"/>
    </row>
    <row r="404" spans="8:8">
      <c r="H404" s="486" t="s"/>
    </row>
    <row r="405" spans="8:8">
      <c r="H405" s="486" t="s"/>
    </row>
    <row r="406" spans="8:8">
      <c r="H406" s="486" t="s"/>
    </row>
    <row r="407" spans="8:8">
      <c r="H407" s="486" t="s"/>
    </row>
    <row r="408" spans="8:8">
      <c r="H408" s="486" t="s"/>
    </row>
    <row r="409" spans="8:8">
      <c r="H409" s="486" t="s"/>
    </row>
    <row r="410" spans="8:8">
      <c r="H410" s="486" t="s"/>
    </row>
    <row r="411" spans="8:8">
      <c r="H411" s="486" t="s"/>
    </row>
    <row r="412" spans="8:8">
      <c r="H412" s="486" t="s"/>
    </row>
    <row r="413" spans="8:8">
      <c r="H413" s="486" t="s"/>
    </row>
    <row r="414" spans="8:8">
      <c r="H414" s="486" t="s"/>
    </row>
    <row r="415" spans="8:8">
      <c r="H415" s="486" t="s"/>
    </row>
    <row r="416" spans="8:8">
      <c r="H416" s="486" t="s"/>
    </row>
    <row r="417" spans="8:8">
      <c r="H417" s="486" t="s"/>
    </row>
    <row r="418" spans="8:8">
      <c r="H418" s="486" t="s"/>
    </row>
    <row r="419" spans="8:8">
      <c r="H419" s="486" t="s"/>
    </row>
    <row r="420" spans="8:8">
      <c r="H420" s="486" t="s"/>
    </row>
    <row r="421" spans="8:8">
      <c r="H421" s="486" t="s"/>
    </row>
    <row r="422" spans="8:8">
      <c r="H422" s="486" t="s"/>
    </row>
    <row r="423" spans="8:8">
      <c r="H423" s="486" t="s"/>
    </row>
    <row r="424" spans="8:8">
      <c r="H424" s="486" t="s"/>
    </row>
    <row r="425" spans="8:8">
      <c r="H425" s="486" t="s"/>
    </row>
    <row r="426" spans="8:8">
      <c r="H426" s="486" t="s"/>
    </row>
    <row r="427" spans="8:8">
      <c r="H427" s="486" t="s"/>
    </row>
    <row r="428" spans="8:8">
      <c r="H428" s="486" t="s"/>
    </row>
    <row r="429" spans="8:8">
      <c r="H429" s="486" t="s"/>
    </row>
    <row r="430" spans="8:8">
      <c r="H430" s="486" t="s"/>
    </row>
    <row r="431" spans="8:8">
      <c r="H431" s="486" t="s"/>
    </row>
    <row r="432" spans="8:8">
      <c r="H432" s="486" t="s"/>
    </row>
    <row r="433" spans="8:8">
      <c r="H433" s="486" t="s"/>
    </row>
    <row r="434" spans="8:8">
      <c r="H434" s="486" t="s"/>
    </row>
    <row r="435" spans="8:8">
      <c r="H435" s="486" t="s"/>
    </row>
    <row r="436" spans="8:8">
      <c r="H436" s="486" t="s"/>
    </row>
    <row r="437" spans="8:8">
      <c r="H437" s="486" t="s"/>
    </row>
    <row r="438" spans="8:8">
      <c r="H438" s="486" t="s"/>
    </row>
    <row r="439" spans="8:8">
      <c r="H439" s="486" t="s"/>
    </row>
    <row r="440" spans="8:8">
      <c r="H440" s="486" t="s"/>
    </row>
    <row r="441" spans="8:8">
      <c r="H441" s="486" t="s"/>
    </row>
    <row r="442" spans="8:8">
      <c r="H442" s="486" t="s"/>
    </row>
    <row r="443" spans="8:8">
      <c r="H443" s="486" t="s"/>
    </row>
    <row r="444" spans="8:8">
      <c r="H444" s="486" t="s"/>
    </row>
    <row r="445" spans="8:8">
      <c r="H445" s="486" t="s"/>
    </row>
    <row r="446" spans="8:8">
      <c r="H446" s="486" t="s"/>
    </row>
    <row r="447" spans="8:8">
      <c r="H447" s="486" t="s"/>
    </row>
    <row r="448" spans="8:8">
      <c r="H448" s="486" t="s"/>
    </row>
    <row r="449" spans="8:8">
      <c r="H449" s="486" t="s"/>
    </row>
    <row r="450" spans="8:8">
      <c r="H450" s="486" t="s"/>
    </row>
    <row r="451" spans="8:8">
      <c r="H451" s="486" t="s"/>
    </row>
    <row r="452" spans="8:8">
      <c r="H452" s="486" t="s"/>
    </row>
    <row r="453" spans="8:8">
      <c r="H453" s="486" t="s"/>
    </row>
    <row r="454" spans="8:8">
      <c r="H454" s="486" t="s"/>
    </row>
    <row r="455" spans="8:8">
      <c r="H455" s="486" t="s"/>
    </row>
    <row r="456" spans="8:8">
      <c r="H456" s="486" t="s"/>
    </row>
    <row r="457" spans="8:8">
      <c r="H457" s="486" t="s"/>
    </row>
    <row r="458" spans="8:8">
      <c r="H458" s="486" t="s"/>
    </row>
    <row r="459" spans="8:8">
      <c r="H459" s="486" t="s"/>
    </row>
    <row r="460" spans="8:8">
      <c r="H460" s="486" t="s"/>
    </row>
    <row r="461" spans="8:8">
      <c r="H461" s="486" t="s"/>
    </row>
    <row r="462" spans="8:8">
      <c r="H462" s="486" t="s"/>
    </row>
    <row r="463" spans="8:8">
      <c r="H463" s="486" t="s"/>
    </row>
    <row r="464" spans="8:8">
      <c r="H464" s="486" t="s"/>
    </row>
    <row r="465" spans="8:8">
      <c r="H465" s="486" t="s"/>
    </row>
    <row r="466" spans="8:8">
      <c r="H466" s="486" t="s"/>
    </row>
    <row r="467" spans="8:8">
      <c r="H467" s="486" t="s"/>
    </row>
    <row r="468" spans="8:8">
      <c r="H468" s="486" t="s"/>
    </row>
    <row r="469" spans="8:8">
      <c r="H469" s="486" t="s"/>
    </row>
    <row r="470" spans="8:8">
      <c r="H470" s="486" t="s"/>
    </row>
    <row r="471" spans="8:8">
      <c r="H471" s="486" t="s"/>
    </row>
    <row r="472" spans="8:8">
      <c r="H472" s="486" t="s"/>
    </row>
    <row r="473" spans="8:8">
      <c r="H473" s="486" t="s"/>
    </row>
    <row r="474" spans="8:8">
      <c r="H474" s="486" t="s"/>
    </row>
    <row r="475" spans="8:8">
      <c r="H475" s="486" t="s"/>
    </row>
    <row r="476" spans="8:8">
      <c r="H476" s="486" t="s"/>
    </row>
    <row r="477" spans="8:8">
      <c r="H477" s="486" t="s"/>
    </row>
    <row r="478" spans="8:8">
      <c r="H478" s="486" t="s"/>
    </row>
    <row r="479" spans="8:8">
      <c r="H479" s="486" t="s"/>
    </row>
    <row r="480" spans="8:8">
      <c r="H480" s="486" t="s"/>
    </row>
    <row r="481" spans="8:8">
      <c r="H481" s="486" t="s"/>
    </row>
    <row r="482" spans="8:8">
      <c r="H482" s="486" t="s"/>
    </row>
    <row r="483" spans="8:8">
      <c r="H483" s="486" t="s"/>
    </row>
    <row r="484" spans="8:8">
      <c r="H484" s="486" t="s"/>
    </row>
    <row r="485" spans="8:8">
      <c r="H485" s="486" t="s"/>
    </row>
    <row r="486" spans="8:8">
      <c r="H486" s="486" t="s"/>
    </row>
    <row r="487" spans="8:8">
      <c r="H487" s="486" t="s"/>
    </row>
    <row r="488" spans="8:8">
      <c r="H488" s="486" t="s"/>
    </row>
    <row r="489" spans="8:8">
      <c r="H489" s="486" t="s"/>
    </row>
    <row r="490" spans="8:8">
      <c r="H490" s="486" t="s"/>
    </row>
    <row r="491" spans="8:8">
      <c r="H491" s="486" t="s"/>
    </row>
    <row r="492" spans="8:8">
      <c r="H492" s="486" t="s"/>
    </row>
    <row r="493" spans="8:8">
      <c r="H493" s="486" t="s"/>
    </row>
    <row r="494" spans="8:8">
      <c r="H494" s="486" t="s"/>
    </row>
    <row r="495" spans="8:8">
      <c r="H495" s="486" t="s"/>
    </row>
    <row r="496" spans="8:8">
      <c r="H496" s="486" t="s"/>
    </row>
    <row r="497" spans="8:8">
      <c r="H497" s="486" t="s"/>
    </row>
    <row r="498" spans="8:8">
      <c r="H498" s="486" t="s"/>
    </row>
    <row r="499" spans="8:8">
      <c r="H499" s="486" t="s"/>
    </row>
    <row r="500" spans="8:8">
      <c r="H500" s="486" t="s"/>
    </row>
    <row r="501" spans="8:8">
      <c r="H501" s="486" t="s"/>
    </row>
    <row r="502" spans="8:8">
      <c r="H502" s="486" t="s"/>
    </row>
    <row r="503" spans="8:8">
      <c r="H503" s="486" t="s"/>
    </row>
    <row r="504" spans="8:8">
      <c r="H504" s="486" t="s"/>
    </row>
    <row r="505" spans="8:8">
      <c r="H505" s="486" t="s"/>
    </row>
    <row r="506" spans="8:8">
      <c r="H506" s="486" t="s"/>
    </row>
    <row r="507" spans="8:8">
      <c r="H507" s="486" t="s"/>
    </row>
    <row r="508" spans="8:8">
      <c r="H508" s="486" t="s"/>
    </row>
    <row r="509" spans="8:8">
      <c r="H509" s="486" t="s"/>
    </row>
    <row r="510" spans="8:8">
      <c r="H510" s="486" t="s"/>
    </row>
    <row r="511" spans="8:8">
      <c r="H511" s="486" t="s"/>
    </row>
    <row r="512" spans="8:8">
      <c r="H512" s="486" t="s"/>
    </row>
    <row r="513" spans="8:8">
      <c r="H513" s="486" t="s"/>
    </row>
    <row r="514" spans="8:8">
      <c r="H514" s="486" t="s"/>
    </row>
    <row r="515" spans="8:8">
      <c r="H515" s="486" t="s"/>
    </row>
    <row r="516" spans="8:8">
      <c r="H516" s="486" t="s"/>
    </row>
    <row r="517" spans="8:8">
      <c r="H517" s="486" t="s"/>
    </row>
    <row r="518" spans="8:8">
      <c r="H518" s="486" t="s"/>
    </row>
    <row r="519" spans="8:8">
      <c r="H519" s="486" t="s"/>
    </row>
    <row r="520" spans="8:8">
      <c r="H520" s="486" t="s"/>
    </row>
    <row r="521" spans="8:8">
      <c r="H521" s="486" t="s"/>
    </row>
    <row r="522" spans="8:8">
      <c r="H522" s="486" t="s"/>
    </row>
    <row r="523" spans="8:8">
      <c r="H523" s="486" t="s"/>
    </row>
    <row r="524" spans="8:8">
      <c r="H524" s="486" t="s"/>
    </row>
    <row r="525" spans="8:8">
      <c r="H525" s="486" t="s"/>
    </row>
    <row r="526" spans="8:8">
      <c r="H526" s="486" t="s"/>
    </row>
    <row r="527" spans="8:8">
      <c r="H527" s="486" t="s"/>
    </row>
    <row r="528" spans="8:8">
      <c r="H528" s="486" t="s"/>
    </row>
    <row r="529" spans="8:8">
      <c r="H529" s="486" t="s"/>
    </row>
    <row r="530" spans="8:8">
      <c r="H530" s="486" t="s"/>
    </row>
    <row r="531" spans="8:8">
      <c r="H531" s="486" t="s"/>
    </row>
    <row r="532" spans="8:8">
      <c r="H532" s="486" t="s"/>
    </row>
    <row r="533" spans="8:8">
      <c r="H533" s="486" t="s"/>
    </row>
    <row r="534" spans="8:8">
      <c r="H534" s="486" t="s"/>
    </row>
    <row r="535" spans="8:8">
      <c r="H535" s="486" t="s"/>
    </row>
    <row r="536" spans="8:8">
      <c r="H536" s="486" t="s"/>
    </row>
    <row r="537" spans="8:8">
      <c r="H537" s="486" t="s"/>
    </row>
    <row r="538" spans="8:8">
      <c r="H538" s="486" t="s"/>
    </row>
    <row r="539" spans="8:8">
      <c r="H539" s="486" t="s"/>
    </row>
    <row r="540" spans="8:8">
      <c r="H540" s="486" t="s"/>
    </row>
    <row r="541" spans="8:8">
      <c r="H541" s="486" t="s"/>
    </row>
    <row r="542" spans="8:8">
      <c r="H542" s="486" t="s"/>
    </row>
    <row r="543" spans="8:8">
      <c r="H543" s="486" t="s"/>
    </row>
    <row r="544" spans="8:8">
      <c r="H544" s="486" t="s"/>
    </row>
    <row r="545" spans="8:8">
      <c r="H545" s="486" t="s"/>
    </row>
    <row r="546" spans="8:8">
      <c r="H546" s="486" t="s"/>
    </row>
    <row r="547" spans="8:8">
      <c r="H547" s="486" t="s"/>
    </row>
    <row r="548" spans="8:8">
      <c r="H548" s="486" t="s"/>
    </row>
    <row r="549" spans="8:8">
      <c r="H549" s="486" t="s"/>
    </row>
    <row r="550" spans="8:8">
      <c r="H550" s="486" t="s"/>
    </row>
    <row r="551" spans="8:8">
      <c r="H551" s="486" t="s"/>
    </row>
    <row r="552" spans="8:8">
      <c r="H552" s="486" t="s"/>
    </row>
    <row r="553" spans="8:8">
      <c r="H553" s="486" t="s"/>
    </row>
    <row r="554" spans="8:8">
      <c r="H554" s="486" t="s"/>
    </row>
    <row r="555" spans="8:8">
      <c r="H555" s="486" t="s"/>
    </row>
    <row r="556" spans="8:8">
      <c r="H556" s="486" t="s"/>
    </row>
    <row r="557" spans="8:8">
      <c r="H557" s="486" t="s"/>
    </row>
    <row r="558" spans="8:8">
      <c r="H558" s="486" t="s"/>
    </row>
    <row r="559" spans="8:8">
      <c r="H559" s="486" t="s"/>
    </row>
    <row r="560" spans="8:8">
      <c r="H560" s="486" t="s"/>
    </row>
    <row r="561" spans="8:8">
      <c r="H561" s="486" t="s"/>
    </row>
    <row r="562" spans="8:8">
      <c r="H562" s="486" t="s"/>
    </row>
    <row r="563" spans="8:8">
      <c r="H563" s="486" t="s"/>
    </row>
    <row r="564" spans="8:8">
      <c r="H564" s="486" t="s"/>
    </row>
    <row r="565" spans="8:8">
      <c r="H565" s="486" t="s"/>
    </row>
    <row r="566" spans="8:8">
      <c r="H566" s="486" t="s"/>
    </row>
    <row r="567" spans="8:8">
      <c r="H567" s="486" t="s"/>
    </row>
    <row r="568" spans="8:8">
      <c r="H568" s="486" t="s"/>
    </row>
    <row r="569" spans="8:8">
      <c r="H569" s="486" t="s"/>
    </row>
    <row r="570" spans="8:8">
      <c r="H570" s="486" t="s"/>
    </row>
    <row r="571" spans="8:8">
      <c r="H571" s="486" t="s"/>
    </row>
    <row r="572" spans="8:8">
      <c r="H572" s="486" t="s"/>
    </row>
    <row r="573" spans="8:8">
      <c r="H573" s="486" t="s"/>
    </row>
    <row r="574" spans="8:8">
      <c r="H574" s="486" t="s"/>
    </row>
    <row r="575" spans="8:8">
      <c r="H575" s="486" t="s"/>
    </row>
    <row r="576" spans="8:8">
      <c r="H576" s="486" t="s"/>
    </row>
    <row r="577" spans="8:8">
      <c r="H577" s="486" t="s"/>
    </row>
    <row r="578" spans="8:8">
      <c r="H578" s="486" t="s"/>
    </row>
    <row r="579" spans="8:8">
      <c r="H579" s="486" t="s"/>
    </row>
    <row r="580" spans="8:8">
      <c r="H580" s="486" t="s"/>
    </row>
    <row r="581" spans="8:8">
      <c r="H581" s="486" t="s"/>
    </row>
    <row r="582" spans="8:8">
      <c r="H582" s="486" t="s"/>
    </row>
    <row r="583" spans="8:8">
      <c r="H583" s="486" t="s"/>
    </row>
    <row r="584" spans="8:8">
      <c r="H584" s="486" t="s"/>
    </row>
    <row r="585" spans="8:8">
      <c r="H585" s="486" t="s"/>
    </row>
    <row r="586" spans="8:8">
      <c r="H586" s="486" t="s"/>
    </row>
    <row r="587" spans="8:8">
      <c r="H587" s="486" t="s"/>
    </row>
    <row r="588" spans="8:8">
      <c r="H588" s="486" t="s"/>
    </row>
    <row r="589" spans="8:8">
      <c r="H589" s="486" t="s"/>
    </row>
    <row r="590" spans="8:8">
      <c r="H590" s="486" t="s"/>
    </row>
    <row r="591" spans="8:8">
      <c r="H591" s="486" t="s"/>
    </row>
    <row r="592" spans="8:8">
      <c r="H592" s="486" t="s"/>
    </row>
    <row r="593" spans="8:8">
      <c r="H593" s="486" t="s"/>
    </row>
    <row r="594" spans="8:8">
      <c r="H594" s="486" t="s"/>
    </row>
    <row r="595" spans="8:8">
      <c r="H595" s="486" t="s"/>
    </row>
    <row r="596" spans="8:8">
      <c r="H596" s="486" t="s"/>
    </row>
    <row r="597" spans="8:8">
      <c r="H597" s="486" t="s"/>
    </row>
    <row r="598" spans="8:8">
      <c r="H598" s="486" t="s"/>
    </row>
    <row r="599" spans="8:8">
      <c r="H599" s="486" t="s"/>
    </row>
    <row r="600" spans="8:8">
      <c r="H600" s="486" t="s"/>
    </row>
    <row r="601" spans="8:8">
      <c r="H601" s="486" t="s"/>
    </row>
    <row r="602" spans="8:8">
      <c r="H602" s="486" t="s"/>
    </row>
    <row r="603" spans="8:8">
      <c r="H603" s="486" t="s"/>
    </row>
    <row r="604" spans="8:8">
      <c r="H604" s="486" t="s"/>
    </row>
    <row r="605" spans="8:8">
      <c r="H605" s="486" t="s"/>
    </row>
    <row r="606" spans="8:8">
      <c r="H606" s="486" t="s"/>
    </row>
    <row r="607" spans="8:8">
      <c r="H607" s="486" t="s"/>
    </row>
    <row r="608" spans="8:8">
      <c r="H608" s="486" t="s"/>
    </row>
    <row r="609" spans="8:8">
      <c r="H609" s="486" t="s"/>
    </row>
    <row r="610" spans="8:8">
      <c r="H610" s="486" t="s"/>
    </row>
    <row r="611" spans="8:8">
      <c r="H611" s="486" t="s"/>
    </row>
    <row r="612" spans="8:8">
      <c r="H612" s="486" t="s"/>
    </row>
    <row r="613" spans="8:8">
      <c r="H613" s="486" t="s"/>
    </row>
    <row r="614" spans="8:8">
      <c r="H614" s="486" t="s"/>
    </row>
    <row r="615" spans="8:8">
      <c r="H615" s="486" t="s"/>
    </row>
    <row r="616" spans="8:8">
      <c r="H616" s="486" t="s"/>
    </row>
    <row r="617" spans="8:8">
      <c r="H617" s="486" t="s"/>
    </row>
    <row r="618" spans="8:8">
      <c r="H618" s="486" t="s"/>
    </row>
    <row r="619" spans="8:8">
      <c r="H619" s="486" t="s"/>
    </row>
    <row r="620" spans="8:8">
      <c r="H620" s="486" t="s"/>
    </row>
    <row r="621" spans="8:8">
      <c r="H621" s="486" t="s"/>
    </row>
    <row r="622" spans="8:8">
      <c r="H622" s="486" t="s"/>
    </row>
    <row r="623" spans="8:8">
      <c r="H623" s="486" t="s"/>
    </row>
    <row r="624" spans="8:8">
      <c r="H624" s="486" t="s"/>
    </row>
    <row r="625" spans="8:8">
      <c r="H625" s="486" t="s"/>
    </row>
    <row r="626" spans="8:8">
      <c r="H626" s="486" t="s"/>
    </row>
    <row r="627" spans="8:8">
      <c r="H627" s="486" t="s"/>
    </row>
    <row r="628" spans="8:8">
      <c r="H628" s="486" t="s"/>
    </row>
    <row r="629" spans="8:8">
      <c r="H629" s="486" t="s"/>
    </row>
    <row r="630" spans="8:8">
      <c r="H630" s="486" t="s"/>
    </row>
    <row r="631" spans="8:8">
      <c r="H631" s="486" t="s"/>
    </row>
    <row r="632" spans="8:8">
      <c r="H632" s="486" t="s"/>
    </row>
    <row r="633" spans="8:8">
      <c r="H633" s="486" t="s"/>
    </row>
    <row r="634" spans="8:8">
      <c r="H634" s="486" t="s"/>
    </row>
    <row r="635" spans="8:8">
      <c r="H635" s="486" t="s"/>
    </row>
    <row r="636" spans="8:8">
      <c r="H636" s="486" t="s"/>
    </row>
    <row r="637" spans="8:8">
      <c r="H637" s="486" t="s"/>
    </row>
    <row r="638" spans="8:8">
      <c r="H638" s="486" t="s"/>
    </row>
    <row r="639" spans="8:8">
      <c r="H639" s="486" t="s"/>
    </row>
    <row r="640" spans="8:8">
      <c r="H640" s="486" t="s"/>
    </row>
    <row r="641" spans="8:8">
      <c r="H641" s="486" t="s"/>
    </row>
    <row r="642" spans="8:8">
      <c r="H642" s="486" t="s"/>
    </row>
    <row r="643" spans="8:8">
      <c r="H643" s="486" t="s"/>
    </row>
    <row r="644" spans="8:8">
      <c r="H644" s="486" t="s"/>
    </row>
    <row r="645" spans="8:8">
      <c r="H645" s="486" t="s"/>
    </row>
    <row r="646" spans="8:8">
      <c r="H646" s="486" t="s"/>
    </row>
    <row r="647" spans="8:8">
      <c r="H647" s="486" t="s"/>
    </row>
    <row r="648" spans="8:8">
      <c r="H648" s="486" t="s"/>
    </row>
    <row r="649" spans="8:8">
      <c r="H649" s="486" t="s"/>
    </row>
    <row r="650" spans="8:8">
      <c r="H650" s="486" t="s"/>
    </row>
    <row r="651" spans="8:8">
      <c r="H651" s="486" t="s"/>
    </row>
    <row r="652" spans="8:8">
      <c r="H652" s="486" t="s"/>
    </row>
    <row r="653" spans="8:8">
      <c r="H653" s="486" t="s"/>
    </row>
    <row r="654" spans="8:8">
      <c r="H654" s="486" t="s"/>
    </row>
    <row r="655" spans="8:8">
      <c r="H655" s="486" t="s"/>
    </row>
    <row r="656" spans="8:8">
      <c r="H656" s="486" t="s"/>
    </row>
    <row r="657" spans="8:8">
      <c r="H657" s="486" t="s"/>
    </row>
    <row r="658" spans="8:8">
      <c r="H658" s="486" t="s"/>
    </row>
    <row r="659" spans="8:8">
      <c r="H659" s="486" t="s"/>
    </row>
    <row r="660" spans="8:8">
      <c r="H660" s="486" t="s"/>
    </row>
    <row r="661" spans="8:8">
      <c r="H661" s="486" t="s"/>
    </row>
    <row r="662" spans="8:8">
      <c r="H662" s="486" t="s"/>
    </row>
    <row r="663" spans="8:8">
      <c r="H663" s="486" t="s"/>
    </row>
    <row r="664" spans="8:8">
      <c r="H664" s="486" t="s"/>
    </row>
    <row r="665" spans="8:8">
      <c r="H665" s="486" t="s"/>
    </row>
    <row r="666" spans="8:8">
      <c r="H666" s="486" t="s"/>
    </row>
    <row r="667" spans="8:8">
      <c r="H667" s="486" t="s"/>
    </row>
    <row r="668" spans="8:8">
      <c r="H668" s="486" t="s"/>
    </row>
    <row r="669" spans="8:8">
      <c r="H669" s="486" t="s"/>
    </row>
    <row r="670" spans="8:8">
      <c r="H670" s="486" t="s"/>
    </row>
    <row r="671" spans="8:8">
      <c r="H671" s="486" t="s"/>
    </row>
    <row r="672" spans="8:8">
      <c r="H672" s="486" t="s"/>
    </row>
    <row r="673" spans="8:8">
      <c r="H673" s="486" t="s"/>
    </row>
    <row r="674" spans="8:8">
      <c r="H674" s="486" t="s"/>
    </row>
    <row r="675" spans="8:8">
      <c r="H675" s="486" t="s"/>
    </row>
    <row r="676" spans="8:8">
      <c r="H676" s="486" t="s"/>
    </row>
    <row r="677" spans="8:8">
      <c r="H677" s="486" t="s"/>
    </row>
    <row r="678" spans="8:8">
      <c r="H678" s="486" t="s"/>
    </row>
    <row r="679" spans="8:8">
      <c r="H679" s="486" t="s"/>
    </row>
    <row r="680" spans="8:8">
      <c r="H680" s="486" t="s"/>
    </row>
    <row r="681" spans="8:8">
      <c r="H681" s="486" t="s"/>
    </row>
    <row r="682" spans="8:8">
      <c r="H682" s="486" t="s"/>
    </row>
    <row r="683" spans="8:8">
      <c r="H683" s="486" t="s"/>
    </row>
    <row r="684" spans="8:8">
      <c r="H684" s="486" t="s"/>
    </row>
    <row r="685" spans="8:8">
      <c r="H685" s="486" t="s"/>
    </row>
    <row r="686" spans="8:8">
      <c r="H686" s="486" t="s"/>
    </row>
    <row r="687" spans="8:8">
      <c r="H687" s="486" t="s"/>
    </row>
    <row r="688" spans="8:8">
      <c r="H688" s="486" t="s"/>
    </row>
    <row r="689" spans="8:8">
      <c r="H689" s="486" t="s"/>
    </row>
    <row r="690" spans="8:8">
      <c r="H690" s="486" t="s"/>
    </row>
    <row r="691" spans="8:8">
      <c r="H691" s="486" t="s"/>
    </row>
    <row r="692" spans="8:8">
      <c r="H692" s="486" t="s"/>
    </row>
    <row r="693" spans="8:8">
      <c r="H693" s="486" t="s"/>
    </row>
    <row r="694" spans="8:8">
      <c r="H694" s="486" t="s"/>
    </row>
    <row r="695" spans="8:8">
      <c r="H695" s="486" t="s"/>
    </row>
    <row r="696" spans="8:8">
      <c r="H696" s="486" t="s"/>
    </row>
    <row r="697" spans="8:8">
      <c r="H697" s="486" t="s"/>
    </row>
    <row r="698" spans="8:8">
      <c r="H698" s="486" t="s"/>
    </row>
    <row r="699" spans="8:8">
      <c r="H699" s="486" t="s"/>
    </row>
    <row r="700" spans="8:8">
      <c r="H700" s="486" t="s"/>
    </row>
    <row r="701" spans="8:8">
      <c r="H701" s="486" t="s"/>
    </row>
    <row r="702" spans="8:8">
      <c r="H702" s="486" t="s"/>
    </row>
    <row r="703" spans="8:8">
      <c r="H703" s="486" t="s"/>
    </row>
    <row r="704" spans="8:8">
      <c r="H704" s="486" t="s"/>
    </row>
    <row r="705" spans="8:8">
      <c r="H705" s="486" t="s"/>
    </row>
    <row r="706" spans="8:8">
      <c r="H706" s="486" t="s"/>
    </row>
    <row r="707" spans="8:8">
      <c r="H707" s="486" t="s"/>
    </row>
    <row r="708" spans="8:8">
      <c r="H708" s="486" t="s"/>
    </row>
    <row r="709" spans="8:8">
      <c r="H709" s="486" t="s"/>
    </row>
    <row r="710" spans="8:8">
      <c r="H710" s="486" t="s"/>
    </row>
    <row r="711" spans="8:8">
      <c r="H711" s="486" t="s"/>
    </row>
    <row r="712" spans="8:8">
      <c r="H712" s="486" t="s"/>
    </row>
    <row r="713" spans="8:8">
      <c r="H713" s="486" t="s"/>
    </row>
    <row r="714" spans="8:8">
      <c r="H714" s="486" t="s"/>
    </row>
    <row r="715" spans="8:8">
      <c r="H715" s="486" t="s"/>
    </row>
    <row r="716" spans="8:8">
      <c r="H716" s="486" t="s"/>
    </row>
    <row r="717" spans="8:8">
      <c r="H717" s="486" t="s"/>
    </row>
    <row r="718" spans="8:8">
      <c r="H718" s="486" t="s"/>
    </row>
    <row r="719" spans="8:8">
      <c r="H719" s="486" t="s"/>
    </row>
    <row r="720" spans="8:8">
      <c r="H720" s="486" t="s"/>
    </row>
    <row r="721" spans="8:8">
      <c r="H721" s="486" t="s"/>
    </row>
    <row r="722" spans="8:8">
      <c r="H722" s="486" t="s"/>
    </row>
    <row r="723" spans="8:8">
      <c r="H723" s="486" t="s"/>
    </row>
    <row r="724" spans="8:8">
      <c r="H724" s="486" t="s"/>
    </row>
    <row r="725" spans="8:8">
      <c r="H725" s="486" t="s"/>
    </row>
    <row r="726" spans="8:8">
      <c r="H726" s="486" t="s"/>
    </row>
    <row r="727" spans="8:8">
      <c r="H727" s="486" t="s"/>
    </row>
    <row r="728" spans="8:8">
      <c r="H728" s="486" t="s"/>
    </row>
    <row r="729" spans="8:8">
      <c r="H729" s="486" t="s"/>
    </row>
    <row r="730" spans="8:8">
      <c r="H730" s="486" t="s"/>
    </row>
    <row r="731" spans="8:8">
      <c r="H731" s="486" t="s"/>
    </row>
    <row r="732" spans="8:8">
      <c r="H732" s="486" t="s"/>
    </row>
    <row r="733" spans="8:8">
      <c r="H733" s="486" t="s"/>
    </row>
    <row r="734" spans="8:8">
      <c r="H734" s="486" t="s"/>
    </row>
    <row r="735" spans="8:8">
      <c r="H735" s="486" t="s"/>
    </row>
    <row r="736" spans="8:8">
      <c r="H736" s="486" t="s"/>
    </row>
    <row r="737" spans="8:8">
      <c r="H737" s="486" t="s"/>
    </row>
    <row r="738" spans="8:8">
      <c r="H738" s="486" t="s"/>
    </row>
    <row r="739" spans="8:8">
      <c r="H739" s="486" t="s"/>
    </row>
    <row r="740" spans="8:8">
      <c r="H740" s="486" t="s"/>
    </row>
    <row r="741" spans="8:8">
      <c r="H741" s="486" t="s"/>
    </row>
    <row r="742" spans="8:8">
      <c r="H742" s="486" t="s"/>
    </row>
    <row r="743" spans="8:8">
      <c r="H743" s="486" t="s"/>
    </row>
    <row r="744" spans="8:8">
      <c r="H744" s="486" t="s"/>
    </row>
    <row r="745" spans="8:8">
      <c r="H745" s="486" t="s"/>
    </row>
    <row r="746" spans="8:8">
      <c r="H746" s="486" t="s"/>
    </row>
    <row r="747" spans="8:8">
      <c r="H747" s="486" t="s"/>
    </row>
    <row r="748" spans="8:8">
      <c r="H748" s="486" t="s"/>
    </row>
    <row r="749" spans="8:8">
      <c r="H749" s="486" t="s"/>
    </row>
    <row r="750" spans="8:8">
      <c r="H750" s="486" t="s"/>
    </row>
    <row r="751" spans="8:8">
      <c r="H751" s="486" t="s"/>
    </row>
    <row r="752" spans="8:8">
      <c r="H752" s="486" t="s"/>
    </row>
    <row r="753" spans="8:8">
      <c r="H753" s="486" t="s"/>
    </row>
    <row r="754" spans="8:8">
      <c r="H754" s="486" t="s"/>
    </row>
    <row r="755" spans="8:8">
      <c r="H755" s="486" t="s"/>
    </row>
    <row r="756" spans="8:8">
      <c r="H756" s="486" t="s"/>
    </row>
    <row r="757" spans="8:8">
      <c r="H757" s="486" t="s"/>
    </row>
    <row r="758" spans="8:8">
      <c r="H758" s="486" t="s"/>
    </row>
    <row r="759" spans="8:8">
      <c r="H759" s="486" t="s"/>
    </row>
    <row r="760" spans="8:8">
      <c r="H760" s="486" t="s"/>
    </row>
    <row r="761" spans="8:8">
      <c r="H761" s="486" t="s"/>
    </row>
    <row r="762" spans="8:8">
      <c r="H762" s="486" t="s"/>
    </row>
    <row r="763" spans="8:8">
      <c r="H763" s="486" t="s"/>
    </row>
    <row r="764" spans="8:8">
      <c r="H764" s="486" t="s"/>
    </row>
    <row r="765" spans="8:8">
      <c r="H765" s="486" t="s"/>
    </row>
    <row r="766" spans="8:8">
      <c r="H766" s="486" t="s"/>
    </row>
    <row r="767" spans="8:8">
      <c r="H767" s="486" t="s"/>
    </row>
    <row r="768" spans="8:8">
      <c r="H768" s="486" t="s"/>
    </row>
    <row r="769" spans="8:8">
      <c r="H769" s="486" t="s"/>
    </row>
    <row r="770" spans="8:8">
      <c r="H770" s="486" t="s"/>
    </row>
    <row r="771" spans="8:8">
      <c r="H771" s="486" t="s"/>
    </row>
    <row r="772" spans="8:8">
      <c r="H772" s="486" t="s"/>
    </row>
    <row r="773" spans="8:8">
      <c r="H773" s="486" t="s"/>
    </row>
    <row r="774" spans="8:8">
      <c r="H774" s="486" t="s"/>
    </row>
    <row r="775" spans="8:8">
      <c r="H775" s="486" t="s"/>
    </row>
    <row r="776" spans="8:8">
      <c r="H776" s="486" t="s"/>
    </row>
    <row r="777" spans="8:8">
      <c r="H777" s="486" t="s"/>
    </row>
    <row r="778" spans="8:8">
      <c r="H778" s="486" t="s"/>
    </row>
    <row r="779" spans="8:8">
      <c r="H779" s="486" t="s"/>
    </row>
    <row r="780" spans="8:8">
      <c r="H780" s="486" t="s"/>
    </row>
    <row r="781" spans="8:8">
      <c r="H781" s="486" t="s"/>
    </row>
    <row r="782" spans="8:8">
      <c r="H782" s="486" t="s"/>
    </row>
    <row r="783" spans="8:8">
      <c r="H783" s="486" t="s"/>
    </row>
    <row r="784" spans="8:8">
      <c r="H784" s="486" t="s"/>
    </row>
    <row r="785" spans="8:8">
      <c r="H785" s="486" t="s"/>
    </row>
    <row r="786" spans="8:8">
      <c r="H786" s="486" t="s"/>
    </row>
    <row r="787" spans="8:8">
      <c r="H787" s="486" t="s"/>
    </row>
    <row r="788" spans="8:8">
      <c r="H788" s="486" t="s"/>
    </row>
    <row r="789" spans="8:8">
      <c r="H789" s="486" t="s"/>
    </row>
    <row r="790" spans="8:8">
      <c r="H790" s="486" t="s"/>
    </row>
    <row r="791" spans="8:8">
      <c r="H791" s="486" t="s"/>
    </row>
    <row r="792" spans="8:8">
      <c r="H792" s="486" t="s"/>
    </row>
    <row r="793" spans="8:8">
      <c r="H793" s="486" t="s"/>
    </row>
    <row r="794" spans="8:8">
      <c r="H794" s="486" t="s"/>
    </row>
    <row r="795" spans="8:8">
      <c r="H795" s="486" t="s"/>
    </row>
    <row r="796" spans="8:8">
      <c r="H796" s="486" t="s"/>
    </row>
    <row r="797" spans="8:8">
      <c r="H797" s="486" t="s"/>
    </row>
    <row r="798" spans="8:8">
      <c r="H798" s="486" t="s"/>
    </row>
    <row r="799" spans="8:8">
      <c r="H799" s="486" t="s"/>
    </row>
    <row r="800" spans="8:8">
      <c r="H800" s="486" t="s"/>
    </row>
    <row r="801" spans="8:8">
      <c r="H801" s="486" t="s"/>
    </row>
    <row r="802" spans="8:8">
      <c r="H802" s="486" t="s"/>
    </row>
    <row r="803" spans="8:8">
      <c r="H803" s="486" t="s"/>
    </row>
    <row r="804" spans="8:8">
      <c r="H804" s="486" t="s"/>
    </row>
    <row r="805" spans="8:8">
      <c r="H805" s="486" t="s"/>
    </row>
    <row r="806" spans="8:8">
      <c r="H806" s="486" t="s"/>
    </row>
    <row r="807" spans="8:8">
      <c r="H807" s="486" t="s"/>
    </row>
    <row r="808" spans="8:8">
      <c r="H808" s="486" t="s"/>
    </row>
    <row r="809" spans="8:8">
      <c r="H809" s="486" t="s"/>
    </row>
    <row r="810" spans="8:8">
      <c r="H810" s="486" t="s"/>
    </row>
    <row r="811" spans="8:8">
      <c r="H811" s="486" t="s"/>
    </row>
    <row r="812" spans="8:8">
      <c r="H812" s="486" t="s"/>
    </row>
    <row r="813" spans="8:8">
      <c r="H813" s="486" t="s"/>
    </row>
    <row r="814" spans="8:8">
      <c r="H814" s="486" t="s"/>
    </row>
    <row r="815" spans="8:8">
      <c r="H815" s="486" t="s"/>
    </row>
    <row r="816" spans="8:8">
      <c r="H816" s="486" t="s"/>
    </row>
    <row r="817" spans="8:8">
      <c r="H817" s="486" t="s"/>
    </row>
    <row r="818" spans="8:8">
      <c r="H818" s="486" t="s"/>
    </row>
    <row r="819" spans="8:8">
      <c r="H819" s="486" t="s"/>
    </row>
    <row r="820" spans="8:8">
      <c r="H820" s="486" t="s"/>
    </row>
    <row r="821" spans="8:8">
      <c r="H821" s="486" t="s"/>
    </row>
    <row r="822" spans="8:8">
      <c r="H822" s="486" t="s"/>
    </row>
    <row r="823" spans="8:8">
      <c r="H823" s="486" t="s"/>
    </row>
    <row r="824" spans="8:8">
      <c r="H824" s="486" t="s"/>
    </row>
    <row r="825" spans="8:8">
      <c r="H825" s="486" t="s"/>
    </row>
    <row r="826" spans="8:8">
      <c r="H826" s="486" t="s"/>
    </row>
    <row r="827" spans="8:8">
      <c r="H827" s="486" t="s"/>
    </row>
    <row r="828" spans="8:8">
      <c r="H828" s="486" t="s"/>
    </row>
    <row r="829" spans="8:8">
      <c r="H829" s="486" t="s"/>
    </row>
    <row r="830" spans="8:8">
      <c r="H830" s="486" t="s"/>
    </row>
    <row r="831" spans="8:8">
      <c r="H831" s="486" t="s"/>
    </row>
    <row r="832" spans="8:8">
      <c r="H832" s="486" t="s"/>
    </row>
    <row r="833" spans="8:8">
      <c r="H833" s="486" t="s"/>
    </row>
    <row r="834" spans="8:8">
      <c r="H834" s="486" t="s"/>
    </row>
    <row r="835" spans="8:8">
      <c r="H835" s="486" t="s"/>
    </row>
    <row r="836" spans="8:8">
      <c r="H836" s="486" t="s"/>
    </row>
    <row r="837" spans="8:8">
      <c r="H837" s="486" t="s"/>
    </row>
    <row r="838" spans="8:8">
      <c r="H838" s="486" t="s"/>
    </row>
    <row r="839" spans="8:8">
      <c r="H839" s="486" t="s"/>
    </row>
    <row r="840" spans="8:8">
      <c r="H840" s="486" t="s"/>
    </row>
    <row r="841" spans="8:8">
      <c r="H841" s="486" t="s"/>
    </row>
    <row r="842" spans="8:8">
      <c r="H842" s="486" t="s"/>
    </row>
    <row r="843" spans="8:8">
      <c r="H843" s="486" t="s"/>
    </row>
    <row r="844" spans="8:8">
      <c r="H844" s="486" t="s"/>
    </row>
    <row r="845" spans="8:8">
      <c r="H845" s="486" t="s"/>
    </row>
    <row r="846" spans="8:8">
      <c r="H846" s="486" t="s"/>
    </row>
    <row r="847" spans="8:8">
      <c r="H847" s="486" t="s"/>
    </row>
    <row r="848" spans="8:8">
      <c r="H848" s="486" t="s"/>
    </row>
    <row r="849" spans="8:8">
      <c r="H849" s="486" t="s"/>
    </row>
    <row r="850" spans="8:8">
      <c r="H850" s="486" t="s"/>
    </row>
    <row r="851" spans="8:8">
      <c r="H851" s="486" t="s"/>
    </row>
    <row r="852" spans="8:8">
      <c r="H852" s="486" t="s"/>
    </row>
    <row r="853" spans="8:8">
      <c r="H853" s="486" t="s"/>
    </row>
    <row r="854" spans="8:8">
      <c r="H854" s="486" t="s"/>
    </row>
    <row r="855" spans="8:8">
      <c r="H855" s="486" t="s"/>
    </row>
    <row r="856" spans="8:8">
      <c r="H856" s="486" t="s"/>
    </row>
    <row r="857" spans="8:8">
      <c r="H857" s="486" t="s"/>
    </row>
    <row r="858" spans="8:8">
      <c r="H858" s="486" t="s"/>
    </row>
    <row r="859" spans="8:8">
      <c r="H859" s="486" t="s"/>
    </row>
    <row r="860" spans="8:8">
      <c r="H860" s="486" t="s"/>
    </row>
    <row r="861" spans="8:8">
      <c r="H861" s="486" t="s"/>
    </row>
    <row r="862" spans="8:8">
      <c r="H862" s="486" t="s"/>
    </row>
    <row r="863" spans="8:8">
      <c r="H863" s="486" t="s"/>
    </row>
    <row r="864" spans="8:8">
      <c r="H864" s="486" t="s"/>
    </row>
    <row r="865" spans="8:8">
      <c r="H865" s="486" t="s"/>
    </row>
    <row r="866" spans="8:8">
      <c r="H866" s="486" t="s"/>
    </row>
    <row r="867" spans="8:8">
      <c r="H867" s="486" t="s"/>
    </row>
    <row r="868" spans="8:8">
      <c r="H868" s="486" t="s"/>
    </row>
    <row r="869" spans="8:8">
      <c r="H869" s="486" t="s"/>
    </row>
    <row r="870" spans="8:8">
      <c r="H870" s="486" t="s"/>
    </row>
    <row r="871" spans="8:8">
      <c r="H871" s="486" t="s"/>
    </row>
    <row r="872" spans="8:8">
      <c r="H872" s="486" t="s"/>
    </row>
    <row r="873" spans="8:8">
      <c r="H873" s="486" t="s"/>
    </row>
    <row r="874" spans="8:8">
      <c r="H874" s="486" t="s"/>
    </row>
    <row r="875" spans="8:8">
      <c r="H875" s="486" t="s"/>
    </row>
    <row r="876" spans="8:8">
      <c r="H876" s="486" t="s"/>
    </row>
    <row r="877" spans="8:8">
      <c r="H877" s="486" t="s"/>
    </row>
    <row r="878" spans="8:8">
      <c r="H878" s="486" t="s"/>
    </row>
    <row r="879" spans="8:8">
      <c r="H879" s="486" t="s"/>
    </row>
    <row r="880" spans="8:8">
      <c r="H880" s="486" t="s"/>
    </row>
    <row r="881" spans="8:8">
      <c r="H881" s="486" t="s"/>
    </row>
    <row r="882" spans="8:8">
      <c r="H882" s="486" t="s"/>
    </row>
    <row r="883" spans="8:8">
      <c r="H883" s="486" t="s"/>
    </row>
    <row r="884" spans="8:8">
      <c r="H884" s="486" t="s"/>
    </row>
    <row r="885" spans="8:8">
      <c r="H885" s="486" t="s"/>
    </row>
    <row r="886" spans="8:8">
      <c r="H886" s="486" t="s"/>
    </row>
    <row r="887" spans="8:8">
      <c r="H887" s="486" t="s"/>
    </row>
    <row r="888" spans="8:8">
      <c r="H888" s="486" t="s"/>
    </row>
    <row r="889" spans="8:8">
      <c r="H889" s="486" t="s"/>
    </row>
    <row r="890" spans="8:8">
      <c r="H890" s="486" t="s"/>
    </row>
    <row r="891" spans="8:8">
      <c r="H891" s="486" t="s"/>
    </row>
    <row r="892" spans="8:8">
      <c r="H892" s="486" t="s"/>
    </row>
    <row r="893" spans="8:8">
      <c r="H893" s="486" t="s"/>
    </row>
    <row r="894" spans="8:8">
      <c r="H894" s="486" t="s"/>
    </row>
    <row r="895" spans="8:8">
      <c r="H895" s="486" t="s"/>
    </row>
    <row r="896" spans="8:8">
      <c r="H896" s="486" t="s"/>
    </row>
    <row r="897" spans="8:8">
      <c r="H897" s="486" t="s"/>
    </row>
    <row r="898" spans="8:8">
      <c r="H898" s="486" t="s"/>
    </row>
    <row r="899" spans="8:8">
      <c r="H899" s="486" t="s"/>
    </row>
    <row r="900" spans="8:8">
      <c r="H900" s="486" t="s"/>
    </row>
    <row r="901" spans="8:8">
      <c r="H901" s="486" t="s"/>
    </row>
    <row r="902" spans="8:8">
      <c r="H902" s="486" t="s"/>
    </row>
    <row r="903" spans="8:8">
      <c r="H903" s="486" t="s"/>
    </row>
    <row r="904" spans="8:8">
      <c r="H904" s="486" t="s"/>
    </row>
    <row r="905" spans="8:8">
      <c r="H905" s="486" t="s"/>
    </row>
    <row r="906" spans="8:8">
      <c r="H906" s="486" t="s"/>
    </row>
    <row r="907" spans="8:8">
      <c r="H907" s="486" t="s"/>
    </row>
    <row r="908" spans="8:8">
      <c r="H908" s="486" t="s"/>
    </row>
    <row r="909" spans="8:8">
      <c r="H909" s="486" t="s"/>
    </row>
    <row r="910" spans="8:8">
      <c r="H910" s="486" t="s"/>
    </row>
    <row r="911" spans="8:8">
      <c r="H911" s="486" t="s"/>
    </row>
    <row r="912" spans="8:8">
      <c r="H912" s="486" t="s"/>
    </row>
    <row r="913" spans="8:8">
      <c r="H913" s="486" t="s"/>
    </row>
    <row r="914" spans="8:8">
      <c r="H914" s="486" t="s"/>
    </row>
    <row r="915" spans="8:8">
      <c r="H915" s="486" t="s"/>
    </row>
    <row r="916" spans="8:8">
      <c r="H916" s="486" t="s"/>
    </row>
    <row r="917" spans="8:8">
      <c r="H917" s="486" t="s"/>
    </row>
    <row r="918" spans="8:8">
      <c r="H918" s="486" t="s"/>
    </row>
    <row r="919" spans="8:8">
      <c r="H919" s="486" t="s"/>
    </row>
    <row r="920" spans="8:8">
      <c r="H920" s="486" t="s"/>
    </row>
    <row r="921" spans="8:8">
      <c r="H921" s="486" t="s"/>
    </row>
    <row r="922" spans="8:8">
      <c r="H922" s="486" t="s"/>
    </row>
    <row r="923" spans="8:8">
      <c r="H923" s="486" t="s"/>
    </row>
    <row r="924" spans="8:8">
      <c r="H924" s="486" t="s"/>
    </row>
    <row r="925" spans="8:8">
      <c r="H925" s="486" t="s"/>
    </row>
    <row r="926" spans="8:8">
      <c r="H926" s="486" t="s"/>
    </row>
    <row r="927" spans="8:8">
      <c r="H927" s="486" t="s"/>
    </row>
    <row r="928" spans="8:8">
      <c r="H928" s="486" t="s"/>
    </row>
    <row r="929" spans="8:8">
      <c r="H929" s="486" t="s"/>
    </row>
    <row r="930" spans="8:8">
      <c r="H930" s="486" t="s"/>
    </row>
    <row r="931" spans="8:8">
      <c r="H931" s="486" t="s"/>
    </row>
    <row r="932" spans="8:8">
      <c r="H932" s="486" t="s"/>
    </row>
    <row r="933" spans="8:8">
      <c r="H933" s="486" t="s"/>
    </row>
    <row r="934" spans="8:8">
      <c r="H934" s="486" t="s"/>
    </row>
    <row r="935" spans="8:8">
      <c r="H935" s="486" t="s"/>
    </row>
    <row r="936" spans="8:8">
      <c r="H936" s="486" t="s"/>
    </row>
    <row r="937" spans="8:8">
      <c r="H937" s="486" t="s"/>
    </row>
    <row r="938" spans="8:8">
      <c r="H938" s="486" t="s"/>
    </row>
    <row r="939" spans="8:8">
      <c r="H939" s="486" t="s"/>
    </row>
    <row r="940" spans="8:8">
      <c r="H940" s="486" t="s"/>
    </row>
    <row r="941" spans="8:8">
      <c r="H941" s="486" t="s"/>
    </row>
    <row r="942" spans="8:8">
      <c r="H942" s="486" t="s"/>
    </row>
    <row r="943" spans="8:8">
      <c r="H943" s="486" t="s"/>
    </row>
    <row r="944" spans="8:8">
      <c r="H944" s="486" t="s"/>
    </row>
    <row r="945" spans="8:8">
      <c r="H945" s="486" t="s"/>
    </row>
    <row r="946" spans="8:8">
      <c r="H946" s="486" t="s"/>
    </row>
    <row r="947" spans="8:8">
      <c r="H947" s="486" t="s"/>
    </row>
    <row r="948" spans="8:8">
      <c r="H948" s="486" t="s"/>
    </row>
    <row r="949" spans="8:8">
      <c r="H949" s="486" t="s"/>
    </row>
    <row r="950" spans="8:8">
      <c r="H950" s="486" t="s"/>
    </row>
    <row r="951" spans="8:8">
      <c r="H951" s="486" t="s"/>
    </row>
    <row r="952" spans="8:8">
      <c r="H952" s="486" t="s"/>
    </row>
    <row r="953" spans="8:8">
      <c r="H953" s="486" t="s"/>
    </row>
    <row r="954" spans="8:8">
      <c r="H954" s="486" t="s"/>
    </row>
    <row r="955" spans="8:8">
      <c r="H955" s="486" t="s"/>
    </row>
    <row r="956" spans="8:8">
      <c r="H956" s="486" t="s"/>
    </row>
    <row r="957" spans="8:8">
      <c r="H957" s="486" t="s"/>
    </row>
    <row r="958" spans="8:8">
      <c r="H958" s="486" t="s"/>
    </row>
    <row r="959" spans="8:8">
      <c r="H959" s="486" t="s"/>
    </row>
    <row r="960" spans="8:8">
      <c r="H960" s="486" t="s"/>
    </row>
    <row r="961" spans="8:8">
      <c r="H961" s="486" t="s"/>
    </row>
    <row r="962" spans="8:8">
      <c r="H962" s="486" t="s"/>
    </row>
    <row r="963" spans="8:8">
      <c r="H963" s="486" t="s"/>
    </row>
    <row r="964" spans="8:8">
      <c r="H964" s="486" t="s"/>
    </row>
    <row r="965" spans="8:8">
      <c r="H965" s="486" t="s"/>
    </row>
    <row r="966" spans="8:8">
      <c r="H966" s="486" t="s"/>
    </row>
    <row r="967" spans="8:8">
      <c r="H967" s="486" t="s"/>
    </row>
    <row r="968" spans="8:8">
      <c r="H968" s="486" t="s"/>
    </row>
    <row r="969" spans="8:8">
      <c r="H969" s="486" t="s"/>
    </row>
    <row r="970" spans="8:8">
      <c r="H970" s="486" t="s"/>
    </row>
    <row r="971" spans="8:8">
      <c r="H971" s="486" t="s"/>
    </row>
    <row r="972" spans="8:8">
      <c r="H972" s="486" t="s"/>
    </row>
    <row r="973" spans="8:8">
      <c r="H973" s="486" t="s"/>
    </row>
    <row r="974" spans="8:8">
      <c r="H974" s="486" t="s"/>
    </row>
    <row r="975" spans="8:8">
      <c r="H975" s="486" t="s"/>
    </row>
    <row r="976" spans="8:8">
      <c r="H976" s="486" t="s"/>
    </row>
    <row r="977" spans="8:8">
      <c r="H977" s="486" t="s"/>
    </row>
    <row r="978" spans="8:8">
      <c r="H978" s="486" t="s"/>
    </row>
    <row r="979" spans="8:8">
      <c r="H979" s="486" t="s"/>
    </row>
    <row r="980" spans="8:8">
      <c r="H980" s="486" t="s"/>
    </row>
    <row r="981" spans="8:8">
      <c r="H981" s="486" t="s"/>
    </row>
    <row r="982" spans="8:8">
      <c r="H982" s="486" t="s"/>
    </row>
    <row r="983" spans="8:8">
      <c r="H983" s="486" t="s"/>
    </row>
    <row r="984" spans="8:8">
      <c r="H984" s="486" t="s"/>
    </row>
    <row r="985" spans="8:8">
      <c r="H985" s="486" t="s"/>
    </row>
    <row r="986" spans="8:8">
      <c r="H986" s="486" t="s"/>
    </row>
    <row r="987" spans="8:8">
      <c r="H987" s="486" t="s"/>
    </row>
    <row r="988" spans="8:8">
      <c r="H988" s="486" t="s"/>
    </row>
    <row r="989" spans="8:8">
      <c r="H989" s="486" t="s"/>
    </row>
    <row r="990" spans="8:8">
      <c r="H990" s="486" t="s"/>
    </row>
    <row r="991" spans="8:8">
      <c r="H991" s="486" t="s"/>
    </row>
  </sheetData>
  <mergeCells count="1">
    <mergeCell ref="A1:G1"/>
  </mergeCells>
</worksheet>
</file>

<file path=xl/worksheets/sheet8.xml><?xml version="1.0" encoding="utf-8"?>
<worksheet xmlns="http://schemas.openxmlformats.org/spreadsheetml/2006/main">
  <sheetPr codeName="【每日新发债内评舆情查询】">
    <tabColor/>
  </sheetPr>
  <dimension ref="S80"/>
  <sheetViews>
    <sheetView showGridLines="1" workbookViewId="0">
      <pane ySplit="2" topLeftCell="A3" state="frozen"/>
    </sheetView>
  </sheetViews>
  <sheetFormatPr baseColWidth="13" defaultRowHeight="18" customHeight="1"/>
  <cols>
    <col min="1" max="1" width="22.793" style="784" customWidth="1"/>
    <col min="2" max="2" width="38.5742" style="595" customWidth="1"/>
    <col min="3" max="3" width="36.8242" style="785" customWidth="1"/>
    <col min="4" max="4" width="18.3438" style="785" customWidth="1"/>
    <col min="5" max="5" width="14.832" style="551" customWidth="1"/>
    <col min="6" max="6" width="22.6641" style="785" customWidth="1"/>
    <col min="7" max="7" width="29.6719" style="785" customWidth="1"/>
    <col min="8" max="8" width="18.7539" style="785" customWidth="1"/>
    <col min="9" max="9" width="22.793" style="785" customWidth="1"/>
    <col min="10" max="10" width="13.6211" style="785" customWidth="1"/>
    <col min="11" max="11" width="11.7344" style="785" customWidth="1"/>
    <col min="12" max="12" width="14.7031" style="785" customWidth="1"/>
    <col min="13" max="13" width="30.6211" style="785" customWidth="1"/>
    <col min="14" max="14" width="22.793" style="785" customWidth="1"/>
    <col min="15" max="15" width="39.6523" style="785" customWidth="1"/>
    <col min="16" max="16" width="22.793" style="551" customWidth="1"/>
    <col min="17" max="17" width="18.0742" style="595" customWidth="1"/>
    <col min="18" max="18" width="22.793" style="785" customWidth="1"/>
    <col min="19" max="19" width="22.793" style="786" customWidth="1"/>
    <col min="20" max="29" width="22.793" style="785" customWidth="1"/>
  </cols>
  <sheetData>
    <row r="1" spans="1:29" s="775" customFormat="1">
      <c r="A1" s="541" t="s">
        <v>876</v>
      </c>
      <c r="B1" s="542" t="s"/>
      <c r="C1" s="543" t="s"/>
      <c r="D1" s="544" t="s"/>
      <c r="E1" s="541" t="s"/>
      <c r="F1" s="545" t="s"/>
      <c r="G1" s="545" t="s"/>
      <c r="H1" s="546" t="s"/>
      <c r="I1" s="546" t="s"/>
      <c r="J1" s="545" t="s"/>
      <c r="K1" s="545" t="s"/>
      <c r="L1" s="545" t="s"/>
      <c r="M1" s="545" t="s"/>
      <c r="N1" s="545" t="s"/>
      <c r="O1" s="545" t="s"/>
      <c r="P1" s="547" t="s"/>
      <c r="Q1" s="548" t="s"/>
      <c r="R1" s="549" t="s"/>
      <c r="S1" s="550" t="s"/>
      <c r="T1" s="549" t="s"/>
      <c r="U1" s="549" t="s"/>
      <c r="V1" s="549" t="s"/>
      <c r="W1" s="551" t="s"/>
      <c r="X1" s="552" t="s"/>
      <c r="Y1" s="552" t="s"/>
      <c r="Z1" s="552" t="s"/>
      <c r="AA1" s="552" t="s"/>
      <c r="AB1" s="552" t="s"/>
      <c r="AC1" s="552" t="s"/>
    </row>
    <row r="2" spans="1:29" s="776" customFormat="1">
      <c r="A2" s="541" t="s">
        <v>877</v>
      </c>
      <c r="B2" s="545" t="s">
        <v>7</v>
      </c>
      <c r="C2" s="553" t="s">
        <v>878</v>
      </c>
      <c r="D2" s="554" t="s">
        <v>879</v>
      </c>
      <c r="E2" s="555" t="s">
        <v>880</v>
      </c>
      <c r="F2" s="556" t="s">
        <v>881</v>
      </c>
      <c r="G2" s="556" t="s">
        <v>882</v>
      </c>
      <c r="H2" s="556" t="s">
        <v>6</v>
      </c>
      <c r="I2" s="556" t="s">
        <v>883</v>
      </c>
      <c r="J2" s="556" t="s">
        <v>884</v>
      </c>
      <c r="K2" s="556" t="s"/>
      <c r="L2" s="556" t="s">
        <v>127</v>
      </c>
      <c r="M2" s="556" t="s">
        <v>885</v>
      </c>
      <c r="N2" s="556" t="s">
        <v>886</v>
      </c>
      <c r="O2" s="556" t="s">
        <v>887</v>
      </c>
      <c r="P2" s="555" t="s">
        <v>888</v>
      </c>
      <c r="Q2" s="555" t="s">
        <v>889</v>
      </c>
      <c r="R2" s="555" t="s">
        <v>890</v>
      </c>
      <c r="S2" s="555" t="s">
        <v>891</v>
      </c>
      <c r="T2" s="551" t="s"/>
      <c r="U2" s="551" t="s"/>
      <c r="V2" s="551" t="s"/>
      <c r="W2" s="551" t="s"/>
      <c r="X2" s="551" t="s"/>
      <c r="Y2" s="551" t="s"/>
      <c r="Z2" s="551" t="s"/>
      <c r="AA2" s="551" t="s"/>
      <c r="AB2" s="551" t="s"/>
      <c r="AC2" s="551" t="s"/>
    </row>
    <row r="3" spans="1:29" s="773" customFormat="1">
      <c r="A3" s="551" t="s"/>
      <c r="B3" s="557" t="s">
        <v>892</v>
      </c>
      <c r="C3" s="558" t="s">
        <v>893</v>
      </c>
      <c r="D3" s="558" t="s">
        <v>894</v>
      </c>
      <c r="E3" s="559" t="s">
        <v>895</v>
      </c>
      <c r="F3" s="560" t="s">
        <v>896</v>
      </c>
      <c r="G3" s="560" t="s">
        <v>228</v>
      </c>
      <c r="H3" s="560" t="s">
        <v>897</v>
      </c>
      <c r="I3" s="560" t="s">
        <v>898</v>
      </c>
      <c r="J3" s="561">
        <v>2</v>
      </c>
      <c r="K3" s="561">
        <v>3</v>
      </c>
      <c r="L3" s="561" t="s"/>
      <c r="M3" s="560" t="s">
        <v>899</v>
      </c>
      <c r="N3" s="560" t="s">
        <v>900</v>
      </c>
      <c r="O3" s="560" t="s">
        <v>901</v>
      </c>
      <c r="P3" s="562">
        <v>46308.75</v>
      </c>
      <c r="Q3" s="560" t="s">
        <v>902</v>
      </c>
      <c r="R3" s="563" t="s">
        <v>903</v>
      </c>
      <c r="S3" s="563" t="s">
        <v>904</v>
      </c>
      <c r="T3" s="551" t="s"/>
      <c r="U3" s="551" t="s"/>
      <c r="V3" s="551" t="s"/>
      <c r="W3" s="551" t="s"/>
      <c r="X3" s="551" t="s"/>
      <c r="Y3" s="551" t="s"/>
      <c r="Z3" s="551" t="s"/>
      <c r="AA3" s="551" t="s"/>
      <c r="AB3" s="551" t="s"/>
      <c r="AC3" s="551" t="s"/>
    </row>
    <row r="4" spans="1:29" s="773" customFormat="1">
      <c r="A4" s="551" t="s"/>
      <c r="B4" s="564" t="s">
        <v>905</v>
      </c>
      <c r="C4" s="558" t="s">
        <v>906</v>
      </c>
      <c r="D4" s="558" t="s">
        <v>894</v>
      </c>
      <c r="E4" s="559" t="s">
        <v>907</v>
      </c>
      <c r="F4" s="560" t="s">
        <v>908</v>
      </c>
      <c r="G4" s="560" t="s">
        <v>909</v>
      </c>
      <c r="H4" s="560" t="s">
        <v>910</v>
      </c>
      <c r="I4" s="560" t="s">
        <v>911</v>
      </c>
      <c r="J4" s="561">
        <v>2.25</v>
      </c>
      <c r="K4" s="561">
        <v>2.95</v>
      </c>
      <c r="L4" s="561" t="s"/>
      <c r="M4" s="560" t="s">
        <v>542</v>
      </c>
      <c r="N4" s="560" t="s">
        <v>900</v>
      </c>
      <c r="O4" s="560" t="s">
        <v>912</v>
      </c>
      <c r="P4" s="562">
        <v>46308.75</v>
      </c>
      <c r="Q4" s="560" t="s">
        <v>902</v>
      </c>
      <c r="R4" s="563" t="s">
        <v>913</v>
      </c>
      <c r="S4" s="563" t="s">
        <v>914</v>
      </c>
      <c r="T4" s="551" t="s"/>
      <c r="U4" s="551" t="s"/>
      <c r="V4" s="551" t="s"/>
      <c r="W4" s="551" t="s"/>
      <c r="X4" s="551" t="s"/>
      <c r="Y4" s="551" t="s"/>
      <c r="Z4" s="551" t="s"/>
      <c r="AA4" s="551" t="s"/>
      <c r="AB4" s="551" t="s"/>
      <c r="AC4" s="551" t="s"/>
    </row>
    <row r="5" spans="1:29" s="773" customFormat="1">
      <c r="A5" s="551" t="s"/>
      <c r="B5" s="557" t="s">
        <v>915</v>
      </c>
      <c r="C5" s="558" t="s">
        <v>916</v>
      </c>
      <c r="D5" s="558" t="s">
        <v>894</v>
      </c>
      <c r="E5" s="559" t="s">
        <v>917</v>
      </c>
      <c r="F5" s="560" t="s">
        <v>918</v>
      </c>
      <c r="G5" s="560" t="s">
        <v>919</v>
      </c>
      <c r="H5" s="560" t="s">
        <v>920</v>
      </c>
      <c r="I5" s="560" t="s">
        <v>921</v>
      </c>
      <c r="J5" s="561">
        <v>1.8</v>
      </c>
      <c r="K5" s="561">
        <v>2.8</v>
      </c>
      <c r="L5" s="561" t="s"/>
      <c r="M5" s="560" t="s">
        <v>922</v>
      </c>
      <c r="N5" s="560" t="s">
        <v>900</v>
      </c>
      <c r="O5" s="560" t="s">
        <v>923</v>
      </c>
      <c r="P5" s="562">
        <v>46308.75</v>
      </c>
      <c r="Q5" s="560" t="s">
        <v>924</v>
      </c>
      <c r="R5" s="563" t="s">
        <v>925</v>
      </c>
      <c r="S5" s="565">
        <v>8</v>
      </c>
      <c r="T5" s="551" t="s"/>
      <c r="U5" s="551" t="s"/>
      <c r="V5" s="551" t="s"/>
      <c r="W5" s="551" t="s"/>
      <c r="X5" s="551" t="s"/>
      <c r="Y5" s="551" t="s"/>
      <c r="Z5" s="551" t="s"/>
      <c r="AA5" s="551" t="s"/>
      <c r="AB5" s="551" t="s"/>
      <c r="AC5" s="551" t="s"/>
    </row>
    <row r="6" spans="1:29" s="773" customFormat="1">
      <c r="A6" s="551" t="s"/>
      <c r="B6" s="564" t="s">
        <v>905</v>
      </c>
      <c r="C6" s="558" t="s">
        <v>906</v>
      </c>
      <c r="D6" s="558" t="s">
        <v>894</v>
      </c>
      <c r="E6" s="559" t="s">
        <v>926</v>
      </c>
      <c r="F6" s="560" t="s">
        <v>927</v>
      </c>
      <c r="G6" s="560" t="s">
        <v>928</v>
      </c>
      <c r="H6" s="560" t="s">
        <v>910</v>
      </c>
      <c r="I6" s="560" t="s">
        <v>929</v>
      </c>
      <c r="J6" s="561">
        <v>2.05</v>
      </c>
      <c r="K6" s="561">
        <v>2.75</v>
      </c>
      <c r="L6" s="561" t="s"/>
      <c r="M6" s="560" t="s">
        <v>542</v>
      </c>
      <c r="N6" s="560" t="s">
        <v>900</v>
      </c>
      <c r="O6" s="560" t="s">
        <v>912</v>
      </c>
      <c r="P6" s="562">
        <v>46308.75</v>
      </c>
      <c r="Q6" s="560" t="s">
        <v>902</v>
      </c>
      <c r="R6" s="563" t="s">
        <v>913</v>
      </c>
      <c r="S6" s="563" t="s">
        <v>995</v>
      </c>
      <c r="T6" s="551" t="s"/>
      <c r="U6" s="551" t="s"/>
      <c r="V6" s="551" t="s"/>
      <c r="W6" s="551" t="s"/>
      <c r="X6" s="551" t="s"/>
      <c r="Y6" s="551" t="s"/>
      <c r="Z6" s="551" t="s"/>
      <c r="AA6" s="551" t="s"/>
      <c r="AB6" s="551" t="s"/>
      <c r="AC6" s="551" t="s"/>
    </row>
    <row r="7" spans="1:29" s="777" customFormat="1">
      <c r="A7" s="551" t="s"/>
      <c r="B7" s="557" t="s">
        <v>930</v>
      </c>
      <c r="C7" s="558" t="s">
        <v>893</v>
      </c>
      <c r="D7" s="558" t="s">
        <v>894</v>
      </c>
      <c r="E7" s="559" t="s">
        <v>931</v>
      </c>
      <c r="F7" s="560" t="s">
        <v>932</v>
      </c>
      <c r="G7" s="560" t="s">
        <v>933</v>
      </c>
      <c r="H7" s="560" t="s">
        <v>934</v>
      </c>
      <c r="I7" s="560" t="s">
        <v>935</v>
      </c>
      <c r="J7" s="561">
        <v>2.4</v>
      </c>
      <c r="K7" s="561">
        <v>2.7</v>
      </c>
      <c r="L7" s="561" t="s"/>
      <c r="M7" s="560" t="s">
        <v>936</v>
      </c>
      <c r="N7" s="560" t="s">
        <v>900</v>
      </c>
      <c r="O7" s="560" t="s">
        <v>937</v>
      </c>
      <c r="P7" s="562">
        <v>46308.75</v>
      </c>
      <c r="Q7" s="560" t="s">
        <v>902</v>
      </c>
      <c r="R7" s="563" t="s">
        <v>938</v>
      </c>
      <c r="S7" s="563" t="s">
        <v>914</v>
      </c>
      <c r="T7" s="551" t="s"/>
      <c r="U7" s="551" t="s"/>
      <c r="V7" s="551" t="s"/>
      <c r="W7" s="551" t="s"/>
      <c r="X7" s="551" t="s"/>
      <c r="Y7" s="551" t="s"/>
      <c r="Z7" s="551" t="s"/>
      <c r="AA7" s="551" t="s"/>
      <c r="AB7" s="551" t="s"/>
      <c r="AC7" s="551" t="s"/>
    </row>
    <row r="8" spans="1:29" s="773" customFormat="1">
      <c r="A8" s="551" t="s"/>
      <c r="B8" s="557" t="s">
        <v>939</v>
      </c>
      <c r="C8" s="558" t="s">
        <v>940</v>
      </c>
      <c r="D8" s="558" t="s">
        <v>894</v>
      </c>
      <c r="E8" s="559" t="s">
        <v>941</v>
      </c>
      <c r="F8" s="560" t="s">
        <v>942</v>
      </c>
      <c r="G8" s="560" t="s">
        <v>228</v>
      </c>
      <c r="H8" s="560" t="s">
        <v>920</v>
      </c>
      <c r="I8" s="561">
        <v>11.85</v>
      </c>
      <c r="J8" s="561">
        <v>1.9</v>
      </c>
      <c r="K8" s="561">
        <v>2.6</v>
      </c>
      <c r="L8" s="561" t="s"/>
      <c r="M8" s="560" t="s">
        <v>943</v>
      </c>
      <c r="N8" s="560" t="s">
        <v>900</v>
      </c>
      <c r="O8" s="560" t="s">
        <v>944</v>
      </c>
      <c r="P8" s="562">
        <v>46308.75</v>
      </c>
      <c r="Q8" s="560" t="s">
        <v>902</v>
      </c>
      <c r="R8" s="563" t="s">
        <v>903</v>
      </c>
      <c r="S8" s="563" t="s">
        <v>914</v>
      </c>
      <c r="T8" s="551" t="s"/>
      <c r="U8" s="551" t="s"/>
      <c r="V8" s="551" t="s"/>
      <c r="W8" s="551" t="s"/>
      <c r="X8" s="551" t="s"/>
      <c r="Y8" s="551" t="s"/>
      <c r="Z8" s="551" t="s"/>
      <c r="AA8" s="551" t="s"/>
      <c r="AB8" s="551" t="s"/>
      <c r="AC8" s="551" t="s"/>
    </row>
    <row r="9" spans="1:29" s="773" customFormat="1">
      <c r="A9" s="551" t="s"/>
      <c r="B9" s="564" t="s">
        <v>905</v>
      </c>
      <c r="C9" s="558" t="s">
        <v>893</v>
      </c>
      <c r="D9" s="558" t="s">
        <v>894</v>
      </c>
      <c r="E9" s="559" t="s">
        <v>945</v>
      </c>
      <c r="F9" s="560" t="s">
        <v>946</v>
      </c>
      <c r="G9" s="560" t="s">
        <v>947</v>
      </c>
      <c r="H9" s="560" t="s">
        <v>920</v>
      </c>
      <c r="I9" s="560" t="s">
        <v>948</v>
      </c>
      <c r="J9" s="561">
        <v>1.5</v>
      </c>
      <c r="K9" s="561">
        <v>2.5</v>
      </c>
      <c r="L9" s="561" t="s"/>
      <c r="M9" s="560" t="s">
        <v>949</v>
      </c>
      <c r="N9" s="560" t="s">
        <v>900</v>
      </c>
      <c r="O9" s="560" t="s">
        <v>950</v>
      </c>
      <c r="P9" s="562">
        <v>46308.75</v>
      </c>
      <c r="Q9" s="560" t="s">
        <v>902</v>
      </c>
      <c r="R9" s="563" t="s">
        <v>938</v>
      </c>
      <c r="S9" s="565">
        <v>8</v>
      </c>
      <c r="T9" s="551" t="s"/>
      <c r="U9" s="551" t="s"/>
      <c r="V9" s="551" t="s"/>
      <c r="W9" s="551" t="s"/>
      <c r="X9" s="551" t="s"/>
      <c r="Y9" s="551" t="s"/>
      <c r="Z9" s="551" t="s"/>
      <c r="AA9" s="551" t="s"/>
      <c r="AB9" s="551" t="s"/>
      <c r="AC9" s="551" t="s"/>
    </row>
    <row r="10" spans="1:29" s="773" customFormat="1">
      <c r="A10" s="551" t="s"/>
      <c r="B10" s="564" t="s">
        <v>905</v>
      </c>
      <c r="C10" s="558" t="s">
        <v>893</v>
      </c>
      <c r="D10" s="558" t="s">
        <v>894</v>
      </c>
      <c r="E10" s="559" t="s">
        <v>951</v>
      </c>
      <c r="F10" s="560" t="s">
        <v>952</v>
      </c>
      <c r="G10" s="560" t="s">
        <v>947</v>
      </c>
      <c r="H10" s="560" t="s">
        <v>920</v>
      </c>
      <c r="I10" s="560" t="s">
        <v>953</v>
      </c>
      <c r="J10" s="561">
        <v>1.5</v>
      </c>
      <c r="K10" s="561">
        <v>2.5</v>
      </c>
      <c r="L10" s="561" t="s"/>
      <c r="M10" s="560" t="s">
        <v>943</v>
      </c>
      <c r="N10" s="560" t="s">
        <v>900</v>
      </c>
      <c r="O10" s="560" t="s">
        <v>954</v>
      </c>
      <c r="P10" s="562">
        <v>46308.75</v>
      </c>
      <c r="Q10" s="560" t="s">
        <v>902</v>
      </c>
      <c r="R10" s="563" t="s">
        <v>903</v>
      </c>
      <c r="S10" s="563" t="s">
        <v>955</v>
      </c>
      <c r="T10" s="551" t="s"/>
      <c r="U10" s="551" t="s"/>
      <c r="V10" s="551" t="s"/>
      <c r="W10" s="551" t="s"/>
      <c r="X10" s="551" t="s"/>
      <c r="Y10" s="551" t="s"/>
      <c r="Z10" s="551" t="s"/>
      <c r="AA10" s="551" t="s"/>
      <c r="AB10" s="551" t="s"/>
      <c r="AC10" s="551" t="s"/>
    </row>
    <row r="11" spans="1:29" s="778" customFormat="1">
      <c r="A11" s="566" t="s"/>
      <c r="B11" s="564" t="s">
        <v>905</v>
      </c>
      <c r="C11" s="567" t="s">
        <v>956</v>
      </c>
      <c r="D11" s="567" t="s">
        <v>894</v>
      </c>
      <c r="E11" s="559" t="s">
        <v>957</v>
      </c>
      <c r="F11" s="560" t="s">
        <v>958</v>
      </c>
      <c r="G11" s="560" t="s">
        <v>228</v>
      </c>
      <c r="H11" s="560" t="s">
        <v>934</v>
      </c>
      <c r="I11" s="561">
        <v>4</v>
      </c>
      <c r="J11" s="561">
        <v>1.5</v>
      </c>
      <c r="K11" s="561">
        <v>2.5</v>
      </c>
      <c r="L11" s="561" t="s"/>
      <c r="M11" s="560" t="s">
        <v>506</v>
      </c>
      <c r="N11" s="560" t="s">
        <v>900</v>
      </c>
      <c r="O11" s="560" t="s">
        <v>959</v>
      </c>
      <c r="P11" s="562">
        <v>46308.75</v>
      </c>
      <c r="Q11" s="560" t="s">
        <v>902</v>
      </c>
      <c r="R11" s="560" t="s">
        <v>960</v>
      </c>
      <c r="S11" s="561">
        <v>8</v>
      </c>
      <c r="T11" s="566" t="s"/>
      <c r="U11" s="566" t="s"/>
      <c r="V11" s="566" t="s"/>
      <c r="W11" s="566" t="s"/>
      <c r="X11" s="566" t="s"/>
      <c r="Y11" s="566" t="s"/>
      <c r="Z11" s="566" t="s"/>
      <c r="AA11" s="566" t="s"/>
      <c r="AB11" s="566" t="s"/>
      <c r="AC11" s="566" t="s"/>
    </row>
    <row r="12" spans="1:29" s="773" customFormat="1">
      <c r="A12" s="551" t="s"/>
      <c r="B12" s="564" t="s">
        <v>905</v>
      </c>
      <c r="C12" s="558" t="s">
        <v>916</v>
      </c>
      <c r="D12" s="558" t="s">
        <v>894</v>
      </c>
      <c r="E12" s="559" t="s">
        <v>961</v>
      </c>
      <c r="F12" s="560" t="s">
        <v>962</v>
      </c>
      <c r="G12" s="560" t="s">
        <v>933</v>
      </c>
      <c r="H12" s="560" t="s">
        <v>934</v>
      </c>
      <c r="I12" s="560" t="s">
        <v>963</v>
      </c>
      <c r="J12" s="561">
        <v>2.2</v>
      </c>
      <c r="K12" s="561">
        <v>2.5</v>
      </c>
      <c r="L12" s="561" t="s"/>
      <c r="M12" s="560" t="s">
        <v>964</v>
      </c>
      <c r="N12" s="560" t="s">
        <v>900</v>
      </c>
      <c r="O12" s="560" t="s">
        <v>965</v>
      </c>
      <c r="P12" s="562">
        <v>46308.75</v>
      </c>
      <c r="Q12" s="560" t="s">
        <v>902</v>
      </c>
      <c r="R12" s="563" t="s">
        <v>966</v>
      </c>
      <c r="S12" s="563" t="s">
        <v>914</v>
      </c>
      <c r="T12" s="551" t="s"/>
      <c r="U12" s="551" t="s"/>
      <c r="V12" s="551" t="s"/>
      <c r="W12" s="551" t="s"/>
      <c r="X12" s="551" t="s"/>
      <c r="Y12" s="551" t="s"/>
      <c r="Z12" s="551" t="s"/>
      <c r="AA12" s="551" t="s"/>
      <c r="AB12" s="551" t="s"/>
      <c r="AC12" s="551" t="s"/>
    </row>
    <row r="13" spans="1:29" s="773" customFormat="1">
      <c r="A13" s="551" t="s"/>
      <c r="B13" s="564" t="s">
        <v>905</v>
      </c>
      <c r="C13" s="558" t="s">
        <v>967</v>
      </c>
      <c r="D13" s="558" t="s">
        <v>894</v>
      </c>
      <c r="E13" s="559" t="s">
        <v>968</v>
      </c>
      <c r="F13" s="560" t="s">
        <v>969</v>
      </c>
      <c r="G13" s="560" t="s">
        <v>970</v>
      </c>
      <c r="H13" s="560" t="s">
        <v>910</v>
      </c>
      <c r="I13" s="560" t="s">
        <v>971</v>
      </c>
      <c r="J13" s="561">
        <v>1.5</v>
      </c>
      <c r="K13" s="561">
        <v>2.5</v>
      </c>
      <c r="L13" s="561" t="s"/>
      <c r="M13" s="560" t="s">
        <v>972</v>
      </c>
      <c r="N13" s="560" t="s">
        <v>900</v>
      </c>
      <c r="O13" s="560" t="s">
        <v>973</v>
      </c>
      <c r="P13" s="562">
        <v>46308.75</v>
      </c>
      <c r="Q13" s="560" t="s">
        <v>902</v>
      </c>
      <c r="R13" s="563" t="s">
        <v>974</v>
      </c>
      <c r="S13" s="563" t="s">
        <v>914</v>
      </c>
      <c r="T13" s="551" t="s"/>
      <c r="U13" s="551" t="s"/>
      <c r="V13" s="551" t="s"/>
      <c r="W13" s="551" t="s"/>
      <c r="X13" s="551" t="s"/>
      <c r="Y13" s="551" t="s"/>
      <c r="Z13" s="551" t="s"/>
      <c r="AA13" s="551" t="s"/>
      <c r="AB13" s="551" t="s"/>
      <c r="AC13" s="551" t="s"/>
    </row>
    <row r="14" spans="1:29" s="773" customFormat="1">
      <c r="A14" s="551" t="s"/>
      <c r="B14" s="564" t="s">
        <v>905</v>
      </c>
      <c r="C14" s="558" t="s">
        <v>975</v>
      </c>
      <c r="D14" s="558" t="s">
        <v>894</v>
      </c>
      <c r="E14" s="559" t="s">
        <v>976</v>
      </c>
      <c r="F14" s="560" t="s">
        <v>977</v>
      </c>
      <c r="G14" s="560" t="s">
        <v>947</v>
      </c>
      <c r="H14" s="560" t="s">
        <v>920</v>
      </c>
      <c r="I14" s="561">
        <v>5</v>
      </c>
      <c r="J14" s="561">
        <v>1.8</v>
      </c>
      <c r="K14" s="561">
        <v>2.4</v>
      </c>
      <c r="L14" s="561" t="s"/>
      <c r="M14" s="560" t="s">
        <v>978</v>
      </c>
      <c r="N14" s="560" t="s">
        <v>900</v>
      </c>
      <c r="O14" s="560" t="s">
        <v>979</v>
      </c>
      <c r="P14" s="562">
        <v>46308.75</v>
      </c>
      <c r="Q14" s="560" t="s">
        <v>902</v>
      </c>
      <c r="R14" s="563" t="s">
        <v>966</v>
      </c>
      <c r="S14" s="565">
        <v>6</v>
      </c>
      <c r="T14" s="551" t="s"/>
      <c r="U14" s="551" t="s"/>
      <c r="V14" s="551" t="s"/>
      <c r="W14" s="551" t="s"/>
      <c r="X14" s="551" t="s"/>
      <c r="Y14" s="551" t="s"/>
      <c r="Z14" s="551" t="s"/>
      <c r="AA14" s="551" t="s"/>
      <c r="AB14" s="551" t="s"/>
      <c r="AC14" s="551" t="s"/>
    </row>
    <row r="15" spans="1:29" s="773" customFormat="1">
      <c r="A15" s="551" t="s"/>
      <c r="B15" s="564" t="s">
        <v>905</v>
      </c>
      <c r="C15" s="568" t="s">
        <v>980</v>
      </c>
      <c r="D15" s="558" t="s">
        <v>894</v>
      </c>
      <c r="E15" s="559" t="s">
        <v>981</v>
      </c>
      <c r="F15" s="560" t="s">
        <v>982</v>
      </c>
      <c r="G15" s="560" t="s">
        <v>228</v>
      </c>
      <c r="H15" s="560" t="s">
        <v>934</v>
      </c>
      <c r="I15" s="561">
        <v>7</v>
      </c>
      <c r="J15" s="561">
        <v>1.4</v>
      </c>
      <c r="K15" s="561">
        <v>2.4</v>
      </c>
      <c r="L15" s="561" t="s"/>
      <c r="M15" s="560" t="s">
        <v>983</v>
      </c>
      <c r="N15" s="560" t="s">
        <v>900</v>
      </c>
      <c r="O15" s="560" t="s">
        <v>984</v>
      </c>
      <c r="P15" s="562">
        <v>46308.75</v>
      </c>
      <c r="Q15" s="560" t="s">
        <v>902</v>
      </c>
      <c r="R15" s="563" t="s">
        <v>938</v>
      </c>
      <c r="S15" s="565">
        <v>5</v>
      </c>
      <c r="T15" s="551" t="s"/>
      <c r="U15" s="551" t="s"/>
      <c r="V15" s="551" t="s"/>
      <c r="W15" s="551" t="s"/>
      <c r="X15" s="551" t="s"/>
      <c r="Y15" s="551" t="s"/>
      <c r="Z15" s="551" t="s"/>
      <c r="AA15" s="551" t="s"/>
      <c r="AB15" s="551" t="s"/>
      <c r="AC15" s="551" t="s"/>
    </row>
    <row r="16" spans="1:29" s="779" customFormat="1">
      <c r="A16" s="551" t="s"/>
      <c r="B16" s="564" t="s">
        <v>905</v>
      </c>
      <c r="C16" s="558" t="s">
        <v>985</v>
      </c>
      <c r="D16" s="558" t="s">
        <v>894</v>
      </c>
      <c r="E16" s="559" t="s">
        <v>986</v>
      </c>
      <c r="F16" s="560" t="s">
        <v>987</v>
      </c>
      <c r="G16" s="560" t="s">
        <v>947</v>
      </c>
      <c r="H16" s="560" t="s">
        <v>920</v>
      </c>
      <c r="I16" s="561">
        <v>2.74</v>
      </c>
      <c r="J16" s="561">
        <v>1.5</v>
      </c>
      <c r="K16" s="561">
        <v>2.3</v>
      </c>
      <c r="L16" s="561" t="s"/>
      <c r="M16" s="560" t="s">
        <v>988</v>
      </c>
      <c r="N16" s="560" t="s">
        <v>900</v>
      </c>
      <c r="O16" s="560" t="s">
        <v>989</v>
      </c>
      <c r="P16" s="562">
        <v>46308.75</v>
      </c>
      <c r="Q16" s="560" t="s">
        <v>902</v>
      </c>
      <c r="R16" s="563" t="s">
        <v>903</v>
      </c>
      <c r="S16" s="565">
        <v>6</v>
      </c>
      <c r="T16" s="551" t="s"/>
      <c r="U16" s="551" t="s"/>
      <c r="V16" s="551" t="s"/>
      <c r="W16" s="551" t="s"/>
      <c r="X16" s="551" t="s"/>
      <c r="Y16" s="551" t="s"/>
      <c r="Z16" s="551" t="s"/>
      <c r="AA16" s="551" t="s"/>
      <c r="AB16" s="551" t="s"/>
      <c r="AC16" s="551" t="s"/>
    </row>
    <row r="17" spans="2:19">
      <c r="B17" s="557" t="s">
        <v>990</v>
      </c>
      <c r="C17" s="569" t="s">
        <v>967</v>
      </c>
      <c r="D17" s="569" t="s">
        <v>894</v>
      </c>
      <c r="E17" s="570" t="s">
        <v>991</v>
      </c>
      <c r="F17" s="571" t="s">
        <v>992</v>
      </c>
      <c r="G17" s="572" t="s">
        <v>947</v>
      </c>
      <c r="H17" s="572" t="s">
        <v>934</v>
      </c>
      <c r="I17" s="573">
        <v>15</v>
      </c>
      <c r="J17" s="574">
        <v>1.3</v>
      </c>
      <c r="K17" s="573">
        <v>2.3</v>
      </c>
      <c r="L17" s="574" t="s"/>
      <c r="M17" s="571" t="s">
        <v>978</v>
      </c>
      <c r="N17" s="575" t="s">
        <v>900</v>
      </c>
      <c r="O17" s="571" t="s">
        <v>993</v>
      </c>
      <c r="P17" s="576">
        <v>46308.75</v>
      </c>
      <c r="Q17" s="572" t="s">
        <v>994</v>
      </c>
      <c r="R17" s="577" t="s">
        <v>903</v>
      </c>
      <c r="S17" s="578" t="s">
        <v>995</v>
      </c>
    </row>
    <row r="18" spans="2:19">
      <c r="B18" s="579" t="s">
        <v>905</v>
      </c>
      <c r="C18" s="580" t="s">
        <v>893</v>
      </c>
      <c r="D18" s="569" t="s">
        <v>894</v>
      </c>
      <c r="E18" s="570" t="s">
        <v>996</v>
      </c>
      <c r="F18" s="581" t="s">
        <v>997</v>
      </c>
      <c r="G18" s="572" t="s">
        <v>228</v>
      </c>
      <c r="H18" s="572" t="s">
        <v>920</v>
      </c>
      <c r="I18" s="573">
        <v>1.1</v>
      </c>
      <c r="J18" s="574">
        <v>1.8</v>
      </c>
      <c r="K18" s="573">
        <v>2.3</v>
      </c>
      <c r="L18" s="574" t="s"/>
      <c r="M18" s="571" t="s">
        <v>988</v>
      </c>
      <c r="N18" s="575" t="s">
        <v>900</v>
      </c>
      <c r="O18" s="571" t="s">
        <v>998</v>
      </c>
      <c r="P18" s="576">
        <v>46308.75</v>
      </c>
      <c r="Q18" s="571" t="s">
        <v>902</v>
      </c>
      <c r="R18" s="571" t="s">
        <v>903</v>
      </c>
      <c r="S18" s="578" t="s">
        <v>999</v>
      </c>
    </row>
    <row r="19" spans="2:19">
      <c r="B19" s="579" t="s">
        <v>905</v>
      </c>
      <c r="C19" s="569" t="s">
        <v>893</v>
      </c>
      <c r="D19" s="569" t="s">
        <v>894</v>
      </c>
      <c r="E19" s="570" t="s">
        <v>1000</v>
      </c>
      <c r="F19" s="571" t="s">
        <v>1001</v>
      </c>
      <c r="G19" s="572" t="s">
        <v>947</v>
      </c>
      <c r="H19" s="572" t="s">
        <v>920</v>
      </c>
      <c r="I19" s="572" t="s">
        <v>971</v>
      </c>
      <c r="J19" s="574">
        <v>1.4</v>
      </c>
      <c r="K19" s="573">
        <v>2.2</v>
      </c>
      <c r="L19" s="574" t="s"/>
      <c r="M19" s="571" t="s">
        <v>542</v>
      </c>
      <c r="N19" s="575" t="s">
        <v>900</v>
      </c>
      <c r="O19" s="571" t="s">
        <v>1002</v>
      </c>
      <c r="P19" s="576">
        <v>46308.75</v>
      </c>
      <c r="Q19" s="571" t="s">
        <v>902</v>
      </c>
      <c r="R19" s="577" t="s">
        <v>903</v>
      </c>
      <c r="S19" s="582" t="s">
        <v>995</v>
      </c>
    </row>
    <row r="20" spans="2:19">
      <c r="B20" s="579" t="s">
        <v>1003</v>
      </c>
      <c r="C20" s="569" t="s">
        <v>1004</v>
      </c>
      <c r="D20" s="569" t="s">
        <v>894</v>
      </c>
      <c r="E20" s="570" t="s">
        <v>1005</v>
      </c>
      <c r="F20" s="571" t="s">
        <v>1006</v>
      </c>
      <c r="G20" s="572" t="s">
        <v>933</v>
      </c>
      <c r="H20" s="572" t="s">
        <v>934</v>
      </c>
      <c r="I20" s="573">
        <v>10</v>
      </c>
      <c r="J20" s="574">
        <v>1.8</v>
      </c>
      <c r="K20" s="573">
        <v>2.2</v>
      </c>
      <c r="L20" s="574" t="s"/>
      <c r="M20" s="571" t="s">
        <v>1007</v>
      </c>
      <c r="N20" s="575" t="s">
        <v>900</v>
      </c>
      <c r="O20" s="571" t="s">
        <v>1008</v>
      </c>
      <c r="P20" s="576">
        <v>46308.75</v>
      </c>
      <c r="Q20" s="571" t="s">
        <v>994</v>
      </c>
      <c r="R20" s="577" t="s">
        <v>960</v>
      </c>
      <c r="S20" s="583">
        <v>4</v>
      </c>
    </row>
    <row r="21" spans="1:29" s="780" customFormat="1">
      <c r="A21" s="584" t="s"/>
      <c r="B21" s="585" t="s">
        <v>905</v>
      </c>
      <c r="C21" s="567" t="s">
        <v>1009</v>
      </c>
      <c r="D21" s="567" t="s">
        <v>894</v>
      </c>
      <c r="E21" s="559" t="s">
        <v>1010</v>
      </c>
      <c r="F21" s="560" t="s">
        <v>1011</v>
      </c>
      <c r="G21" s="560" t="s">
        <v>228</v>
      </c>
      <c r="H21" s="560" t="s">
        <v>934</v>
      </c>
      <c r="I21" s="560" t="s">
        <v>1012</v>
      </c>
      <c r="J21" s="561">
        <v>1.7</v>
      </c>
      <c r="K21" s="561">
        <v>2.1</v>
      </c>
      <c r="L21" s="561" t="s"/>
      <c r="M21" s="560" t="s">
        <v>964</v>
      </c>
      <c r="N21" s="560" t="s">
        <v>900</v>
      </c>
      <c r="O21" s="560" t="s">
        <v>965</v>
      </c>
      <c r="P21" s="562">
        <v>46308.75</v>
      </c>
      <c r="Q21" s="560" t="s">
        <v>902</v>
      </c>
      <c r="R21" s="560" t="s">
        <v>966</v>
      </c>
      <c r="S21" s="560" t="s">
        <v>1013</v>
      </c>
      <c r="T21" s="586" t="s"/>
      <c r="U21" s="587" t="s"/>
      <c r="V21" s="587" t="s"/>
      <c r="W21" s="587" t="s"/>
      <c r="X21" s="587" t="s"/>
      <c r="Y21" s="587" t="s"/>
      <c r="Z21" s="587" t="s"/>
      <c r="AA21" s="587" t="s"/>
      <c r="AB21" s="587" t="s"/>
      <c r="AC21" s="587" t="s"/>
    </row>
    <row r="22" spans="1:29" s="781" customFormat="1">
      <c r="A22" s="588" t="s"/>
      <c r="B22" s="589" t="s">
        <v>905</v>
      </c>
      <c r="C22" s="568" t="s">
        <v>893</v>
      </c>
      <c r="D22" s="568" t="s">
        <v>894</v>
      </c>
      <c r="E22" s="559" t="s">
        <v>1014</v>
      </c>
      <c r="F22" s="560" t="s">
        <v>1015</v>
      </c>
      <c r="G22" s="560" t="s">
        <v>1016</v>
      </c>
      <c r="H22" s="560" t="s">
        <v>910</v>
      </c>
      <c r="I22" s="561">
        <v>15</v>
      </c>
      <c r="J22" s="561">
        <v>1.6</v>
      </c>
      <c r="K22" s="561">
        <v>2.1</v>
      </c>
      <c r="L22" s="561" t="s"/>
      <c r="M22" s="560" t="s">
        <v>988</v>
      </c>
      <c r="N22" s="560" t="s">
        <v>900</v>
      </c>
      <c r="O22" s="560" t="s">
        <v>1017</v>
      </c>
      <c r="P22" s="562">
        <v>46308.75</v>
      </c>
      <c r="Q22" s="560" t="s">
        <v>902</v>
      </c>
      <c r="R22" s="563" t="s">
        <v>913</v>
      </c>
      <c r="S22" s="563" t="s">
        <v>1018</v>
      </c>
      <c r="T22" s="590" t="s"/>
      <c r="U22" s="591" t="s"/>
      <c r="V22" s="591" t="s"/>
      <c r="W22" s="591" t="s"/>
      <c r="X22" s="591" t="s"/>
      <c r="Y22" s="591" t="s"/>
      <c r="Z22" s="591" t="s"/>
      <c r="AA22" s="591" t="s"/>
      <c r="AB22" s="591" t="s"/>
      <c r="AC22" s="591" t="s"/>
    </row>
    <row r="23" spans="1:29" s="782" customFormat="1">
      <c r="A23" s="592" t="s"/>
      <c r="B23" s="593" t="s">
        <v>1019</v>
      </c>
      <c r="C23" s="567" t="s">
        <v>893</v>
      </c>
      <c r="D23" s="567" t="s">
        <v>894</v>
      </c>
      <c r="E23" s="559" t="s">
        <v>1020</v>
      </c>
      <c r="F23" s="560" t="s">
        <v>1021</v>
      </c>
      <c r="G23" s="560" t="s">
        <v>947</v>
      </c>
      <c r="H23" s="560" t="s">
        <v>920</v>
      </c>
      <c r="I23" s="561">
        <v>2</v>
      </c>
      <c r="J23" s="561">
        <v>1.5</v>
      </c>
      <c r="K23" s="561">
        <v>2</v>
      </c>
      <c r="L23" s="561" t="s"/>
      <c r="M23" s="560" t="s">
        <v>978</v>
      </c>
      <c r="N23" s="560" t="s">
        <v>900</v>
      </c>
      <c r="O23" s="560" t="s">
        <v>1022</v>
      </c>
      <c r="P23" s="562">
        <v>46308.75</v>
      </c>
      <c r="Q23" s="560" t="s">
        <v>902</v>
      </c>
      <c r="R23" s="560" t="s">
        <v>903</v>
      </c>
      <c r="S23" s="560" t="s">
        <v>1013</v>
      </c>
      <c r="T23" s="594" t="s"/>
      <c r="U23" s="594" t="s"/>
      <c r="V23" s="594" t="s"/>
      <c r="W23" s="594" t="s"/>
      <c r="X23" s="594" t="s"/>
      <c r="Y23" s="594" t="s"/>
      <c r="Z23" s="594" t="s"/>
      <c r="AA23" s="594" t="s"/>
      <c r="AB23" s="594" t="s"/>
      <c r="AC23" s="594" t="s"/>
    </row>
    <row r="24" spans="2:19">
      <c r="B24" s="595" t="s">
        <v>1023</v>
      </c>
      <c r="C24" s="569" t="s"/>
      <c r="D24" s="569" t="s">
        <v>894</v>
      </c>
      <c r="E24" s="570" t="s">
        <v>213</v>
      </c>
      <c r="F24" s="571" t="s">
        <v>1024</v>
      </c>
      <c r="G24" s="571" t="s">
        <v>228</v>
      </c>
      <c r="H24" s="572" t="s">
        <v>934</v>
      </c>
      <c r="I24" s="573">
        <v>10</v>
      </c>
      <c r="J24" s="574">
        <v>1.5</v>
      </c>
      <c r="K24" s="573">
        <v>2</v>
      </c>
      <c r="L24" s="574" t="s"/>
      <c r="M24" s="571" t="s">
        <v>1025</v>
      </c>
      <c r="N24" s="575" t="s">
        <v>900</v>
      </c>
      <c r="O24" s="571" t="s">
        <v>1026</v>
      </c>
      <c r="P24" s="576">
        <v>46308.75</v>
      </c>
      <c r="Q24" s="571" t="s">
        <v>902</v>
      </c>
      <c r="R24" s="577" t="s">
        <v>974</v>
      </c>
      <c r="S24" s="582" t="s">
        <v>213</v>
      </c>
    </row>
    <row r="25" spans="2:19">
      <c r="B25" s="596" t="s">
        <v>905</v>
      </c>
      <c r="C25" s="569" t="s">
        <v>2356</v>
      </c>
      <c r="D25" s="569" t="s">
        <v>894</v>
      </c>
      <c r="E25" s="570" t="s">
        <v>1027</v>
      </c>
      <c r="F25" s="571" t="s">
        <v>1028</v>
      </c>
      <c r="G25" s="571" t="s">
        <v>228</v>
      </c>
      <c r="H25" s="572" t="s">
        <v>934</v>
      </c>
      <c r="I25" s="573">
        <v>3</v>
      </c>
      <c r="J25" s="574">
        <v>1.5</v>
      </c>
      <c r="K25" s="573">
        <v>2</v>
      </c>
      <c r="L25" s="574" t="s"/>
      <c r="M25" s="571" t="s">
        <v>1029</v>
      </c>
      <c r="N25" s="575" t="s">
        <v>900</v>
      </c>
      <c r="O25" s="571" t="s">
        <v>1030</v>
      </c>
      <c r="P25" s="576">
        <v>46308.75</v>
      </c>
      <c r="Q25" s="571" t="s">
        <v>994</v>
      </c>
      <c r="R25" s="577" t="s">
        <v>1031</v>
      </c>
      <c r="S25" s="582" t="s">
        <v>1018</v>
      </c>
    </row>
    <row r="26" spans="2:19">
      <c r="B26" s="596" t="s">
        <v>1032</v>
      </c>
      <c r="C26" s="569" t="s">
        <v>1033</v>
      </c>
      <c r="D26" s="569" t="s">
        <v>894</v>
      </c>
      <c r="E26" s="570" t="s">
        <v>1034</v>
      </c>
      <c r="F26" s="571" t="s">
        <v>1035</v>
      </c>
      <c r="G26" s="572" t="s">
        <v>228</v>
      </c>
      <c r="H26" s="571" t="s">
        <v>934</v>
      </c>
      <c r="I26" s="573">
        <v>11.2</v>
      </c>
      <c r="J26" s="574">
        <v>1.53</v>
      </c>
      <c r="K26" s="573">
        <v>1.93</v>
      </c>
      <c r="L26" s="574" t="s"/>
      <c r="M26" s="571" t="s">
        <v>1025</v>
      </c>
      <c r="N26" s="571" t="s">
        <v>900</v>
      </c>
      <c r="O26" s="571" t="s">
        <v>1036</v>
      </c>
      <c r="P26" s="576">
        <v>46308.75</v>
      </c>
      <c r="Q26" s="572" t="s">
        <v>1037</v>
      </c>
      <c r="R26" s="577" t="s">
        <v>1031</v>
      </c>
      <c r="S26" s="582" t="s">
        <v>1018</v>
      </c>
    </row>
    <row r="27" spans="2:19">
      <c r="B27" s="589" t="s">
        <v>905</v>
      </c>
      <c r="C27" s="569" t="s">
        <v>893</v>
      </c>
      <c r="D27" s="569" t="s">
        <v>894</v>
      </c>
      <c r="E27" s="570" t="s">
        <v>1038</v>
      </c>
      <c r="F27" s="571" t="s">
        <v>1039</v>
      </c>
      <c r="G27" s="572" t="s">
        <v>947</v>
      </c>
      <c r="H27" s="571" t="s">
        <v>920</v>
      </c>
      <c r="I27" s="573">
        <v>4</v>
      </c>
      <c r="J27" s="574">
        <v>1.5</v>
      </c>
      <c r="K27" s="573">
        <v>1.9</v>
      </c>
      <c r="L27" s="574" t="s"/>
      <c r="M27" s="571" t="s">
        <v>1025</v>
      </c>
      <c r="N27" s="571" t="s">
        <v>900</v>
      </c>
      <c r="O27" s="571" t="s">
        <v>1040</v>
      </c>
      <c r="P27" s="576">
        <v>46308.75</v>
      </c>
      <c r="Q27" s="571" t="s">
        <v>902</v>
      </c>
      <c r="R27" s="577" t="s">
        <v>903</v>
      </c>
      <c r="S27" s="582" t="s">
        <v>1041</v>
      </c>
    </row>
    <row r="28" spans="2:19">
      <c r="B28" s="589" t="s">
        <v>905</v>
      </c>
      <c r="C28" s="569" t="s">
        <v>1042</v>
      </c>
      <c r="D28" s="569" t="s">
        <v>894</v>
      </c>
      <c r="E28" s="598" t="s">
        <v>1043</v>
      </c>
      <c r="F28" s="577" t="s">
        <v>1044</v>
      </c>
      <c r="G28" s="577" t="s">
        <v>947</v>
      </c>
      <c r="H28" s="577" t="s">
        <v>934</v>
      </c>
      <c r="I28" s="599">
        <v>4</v>
      </c>
      <c r="J28" s="583">
        <v>1.5</v>
      </c>
      <c r="K28" s="599">
        <v>1.8</v>
      </c>
      <c r="L28" s="583" t="s"/>
      <c r="M28" s="577" t="s">
        <v>972</v>
      </c>
      <c r="N28" s="577" t="s">
        <v>900</v>
      </c>
      <c r="O28" s="577" t="s">
        <v>1045</v>
      </c>
      <c r="P28" s="600">
        <v>46308.75</v>
      </c>
      <c r="Q28" s="577" t="s">
        <v>902</v>
      </c>
      <c r="R28" s="577" t="s">
        <v>938</v>
      </c>
      <c r="S28" s="582" t="s">
        <v>1018</v>
      </c>
    </row>
    <row r="29" spans="2:19">
      <c r="B29" s="595" t="s">
        <v>1046</v>
      </c>
      <c r="C29" s="569" t="s">
        <v>1047</v>
      </c>
      <c r="D29" s="569" t="s">
        <v>894</v>
      </c>
      <c r="E29" s="598" t="s">
        <v>1048</v>
      </c>
      <c r="F29" s="577" t="s">
        <v>1049</v>
      </c>
      <c r="G29" s="577" t="s">
        <v>947</v>
      </c>
      <c r="H29" s="577" t="s">
        <v>910</v>
      </c>
      <c r="I29" s="601" t="s">
        <v>921</v>
      </c>
      <c r="J29" s="583">
        <v>1.5</v>
      </c>
      <c r="K29" s="599">
        <v>1.7</v>
      </c>
      <c r="L29" s="583" t="s"/>
      <c r="M29" s="577" t="s">
        <v>978</v>
      </c>
      <c r="N29" s="577" t="s">
        <v>900</v>
      </c>
      <c r="O29" s="577" t="s">
        <v>1050</v>
      </c>
      <c r="P29" s="600">
        <v>46308.75</v>
      </c>
      <c r="Q29" s="577" t="s">
        <v>994</v>
      </c>
      <c r="R29" s="577" t="s">
        <v>966</v>
      </c>
      <c r="S29" s="582" t="s">
        <v>995</v>
      </c>
    </row>
    <row r="30" spans="2:19">
      <c r="B30" s="589" t="s">
        <v>905</v>
      </c>
      <c r="C30" s="569" t="s">
        <v>2357</v>
      </c>
      <c r="D30" s="569" t="s">
        <v>894</v>
      </c>
      <c r="E30" s="570" t="s">
        <v>1051</v>
      </c>
      <c r="F30" s="571" t="s">
        <v>1052</v>
      </c>
      <c r="G30" s="572" t="s">
        <v>947</v>
      </c>
      <c r="H30" s="572" t="s">
        <v>934</v>
      </c>
      <c r="I30" s="573">
        <v>4</v>
      </c>
      <c r="J30" s="574">
        <v>1.4</v>
      </c>
      <c r="K30" s="573">
        <v>1.68</v>
      </c>
      <c r="L30" s="574" t="s"/>
      <c r="M30" s="571" t="s">
        <v>1053</v>
      </c>
      <c r="N30" s="575" t="s">
        <v>900</v>
      </c>
      <c r="O30" s="571" t="s">
        <v>1054</v>
      </c>
      <c r="P30" s="576">
        <v>46308.75</v>
      </c>
      <c r="Q30" s="571" t="s">
        <v>902</v>
      </c>
      <c r="R30" s="577" t="s">
        <v>1055</v>
      </c>
      <c r="S30" s="582" t="s">
        <v>1041</v>
      </c>
    </row>
    <row r="31" spans="2:19">
      <c r="B31" s="589" t="s">
        <v>905</v>
      </c>
      <c r="C31" s="569" t="s">
        <v>1042</v>
      </c>
      <c r="D31" s="569" t="s">
        <v>894</v>
      </c>
      <c r="E31" s="570" t="s">
        <v>1056</v>
      </c>
      <c r="F31" s="571" t="s">
        <v>1057</v>
      </c>
      <c r="G31" s="572" t="s">
        <v>919</v>
      </c>
      <c r="H31" s="572" t="s">
        <v>934</v>
      </c>
      <c r="I31" s="573">
        <v>5</v>
      </c>
      <c r="J31" s="574">
        <v>1.4</v>
      </c>
      <c r="K31" s="573">
        <v>1.65</v>
      </c>
      <c r="L31" s="574" t="s"/>
      <c r="M31" s="571" t="s">
        <v>1025</v>
      </c>
      <c r="N31" s="575" t="s">
        <v>900</v>
      </c>
      <c r="O31" s="571" t="s">
        <v>1045</v>
      </c>
      <c r="P31" s="576">
        <v>46308.75</v>
      </c>
      <c r="Q31" s="571" t="s">
        <v>902</v>
      </c>
      <c r="R31" s="577" t="s">
        <v>938</v>
      </c>
      <c r="S31" s="582" t="s">
        <v>1018</v>
      </c>
    </row>
    <row r="32" spans="2:19">
      <c r="B32" s="589" t="s">
        <v>905</v>
      </c>
      <c r="C32" s="569" t="s">
        <v>916</v>
      </c>
      <c r="D32" s="569" t="s">
        <v>894</v>
      </c>
      <c r="E32" s="570" t="s">
        <v>1058</v>
      </c>
      <c r="F32" s="571" t="s">
        <v>1059</v>
      </c>
      <c r="G32" s="571" t="s">
        <v>947</v>
      </c>
      <c r="H32" s="572" t="s">
        <v>920</v>
      </c>
      <c r="I32" s="572" t="s">
        <v>1060</v>
      </c>
      <c r="J32" s="574">
        <v>1.6</v>
      </c>
      <c r="K32" s="573">
        <v>2.6</v>
      </c>
      <c r="L32" s="574" t="s"/>
      <c r="M32" s="571" t="s">
        <v>899</v>
      </c>
      <c r="N32" s="575" t="s">
        <v>1061</v>
      </c>
      <c r="O32" s="571" t="s">
        <v>1062</v>
      </c>
      <c r="P32" s="576">
        <v>46308.75</v>
      </c>
      <c r="Q32" s="572" t="s">
        <v>902</v>
      </c>
      <c r="R32" s="577" t="s">
        <v>903</v>
      </c>
      <c r="S32" s="583">
        <v>6</v>
      </c>
    </row>
    <row r="33" spans="2:19">
      <c r="B33" s="589" t="s">
        <v>905</v>
      </c>
      <c r="C33" s="569" t="s">
        <v>916</v>
      </c>
      <c r="D33" s="569" t="s">
        <v>894</v>
      </c>
      <c r="E33" s="570" t="s">
        <v>1063</v>
      </c>
      <c r="F33" s="571" t="s">
        <v>1064</v>
      </c>
      <c r="G33" s="571" t="s">
        <v>919</v>
      </c>
      <c r="H33" s="572" t="s">
        <v>920</v>
      </c>
      <c r="I33" s="572" t="s">
        <v>1060</v>
      </c>
      <c r="J33" s="574">
        <v>1.4</v>
      </c>
      <c r="K33" s="573">
        <v>2.4</v>
      </c>
      <c r="L33" s="574" t="s"/>
      <c r="M33" s="571" t="s">
        <v>1065</v>
      </c>
      <c r="N33" s="575" t="s">
        <v>1061</v>
      </c>
      <c r="O33" s="571" t="s">
        <v>1066</v>
      </c>
      <c r="P33" s="576">
        <v>46308.75</v>
      </c>
      <c r="Q33" s="571" t="s">
        <v>902</v>
      </c>
      <c r="R33" s="577" t="s">
        <v>903</v>
      </c>
      <c r="S33" s="582" t="s">
        <v>904</v>
      </c>
    </row>
    <row r="34" spans="2:19">
      <c r="B34" s="589" t="s">
        <v>905</v>
      </c>
      <c r="C34" s="569" t="s">
        <v>2358</v>
      </c>
      <c r="D34" s="569" t="s">
        <v>894</v>
      </c>
      <c r="E34" s="570" t="s">
        <v>1067</v>
      </c>
      <c r="F34" s="571" t="s">
        <v>1068</v>
      </c>
      <c r="G34" s="571" t="s">
        <v>228</v>
      </c>
      <c r="H34" s="572" t="s">
        <v>920</v>
      </c>
      <c r="I34" s="572" t="s">
        <v>1069</v>
      </c>
      <c r="J34" s="574">
        <v>1.6</v>
      </c>
      <c r="K34" s="573">
        <v>2.2</v>
      </c>
      <c r="L34" s="574" t="s"/>
      <c r="M34" s="571" t="s">
        <v>1070</v>
      </c>
      <c r="N34" s="575" t="s">
        <v>1061</v>
      </c>
      <c r="O34" s="571" t="s">
        <v>1071</v>
      </c>
      <c r="P34" s="576">
        <v>46309.75</v>
      </c>
      <c r="Q34" s="572" t="s">
        <v>902</v>
      </c>
      <c r="R34" s="577" t="s">
        <v>938</v>
      </c>
      <c r="S34" s="582" t="s">
        <v>999</v>
      </c>
    </row>
    <row r="35" spans="2:19">
      <c r="B35" s="589" t="s">
        <v>905</v>
      </c>
      <c r="C35" s="569" t="s">
        <v>916</v>
      </c>
      <c r="D35" s="569" t="s">
        <v>894</v>
      </c>
      <c r="E35" s="570" t="s">
        <v>1072</v>
      </c>
      <c r="F35" s="571" t="s">
        <v>1073</v>
      </c>
      <c r="G35" s="571" t="s">
        <v>947</v>
      </c>
      <c r="H35" s="572" t="s">
        <v>920</v>
      </c>
      <c r="I35" s="572" t="s">
        <v>1074</v>
      </c>
      <c r="J35" s="574">
        <v>1.5</v>
      </c>
      <c r="K35" s="573">
        <v>2</v>
      </c>
      <c r="L35" s="574" t="s"/>
      <c r="M35" s="571" t="s">
        <v>1070</v>
      </c>
      <c r="N35" s="575" t="s">
        <v>1061</v>
      </c>
      <c r="O35" s="571" t="s">
        <v>1071</v>
      </c>
      <c r="P35" s="576">
        <v>46309.75</v>
      </c>
      <c r="Q35" s="571" t="s">
        <v>902</v>
      </c>
      <c r="R35" s="577" t="s">
        <v>938</v>
      </c>
      <c r="S35" s="582" t="s">
        <v>999</v>
      </c>
    </row>
    <row r="36" spans="2:19">
      <c r="B36" s="589" t="s">
        <v>905</v>
      </c>
      <c r="C36" s="569" t="s">
        <v>1075</v>
      </c>
      <c r="D36" s="569" t="s">
        <v>894</v>
      </c>
      <c r="E36" s="570" t="s">
        <v>1076</v>
      </c>
      <c r="F36" s="571" t="s">
        <v>1077</v>
      </c>
      <c r="G36" s="572" t="s">
        <v>919</v>
      </c>
      <c r="H36" s="572" t="s">
        <v>920</v>
      </c>
      <c r="I36" s="573">
        <v>14</v>
      </c>
      <c r="J36" s="602" t="s"/>
      <c r="K36" s="572" t="s"/>
      <c r="L36" s="574" t="s"/>
      <c r="M36" s="571" t="s">
        <v>1078</v>
      </c>
      <c r="N36" s="575" t="s">
        <v>1061</v>
      </c>
      <c r="O36" s="571" t="s">
        <v>1079</v>
      </c>
      <c r="P36" s="575" t="s"/>
      <c r="Q36" s="571" t="s">
        <v>902</v>
      </c>
      <c r="R36" s="577" t="s">
        <v>974</v>
      </c>
      <c r="S36" s="583">
        <v>7</v>
      </c>
    </row>
    <row r="37" spans="2:19">
      <c r="B37" s="589" t="s">
        <v>905</v>
      </c>
      <c r="C37" s="569" t="s">
        <v>893</v>
      </c>
      <c r="D37" s="569" t="s">
        <v>894</v>
      </c>
      <c r="E37" s="570" t="s">
        <v>1080</v>
      </c>
      <c r="F37" s="571" t="s">
        <v>1081</v>
      </c>
      <c r="G37" s="572" t="s">
        <v>947</v>
      </c>
      <c r="H37" s="572" t="s">
        <v>920</v>
      </c>
      <c r="I37" s="573">
        <v>5</v>
      </c>
      <c r="J37" s="602" t="s"/>
      <c r="K37" s="572" t="s"/>
      <c r="L37" s="574" t="s"/>
      <c r="M37" s="571" t="s">
        <v>1082</v>
      </c>
      <c r="N37" s="575" t="s">
        <v>1061</v>
      </c>
      <c r="O37" s="571" t="s">
        <v>1083</v>
      </c>
      <c r="P37" s="575" t="s"/>
      <c r="Q37" s="572" t="s">
        <v>902</v>
      </c>
      <c r="R37" s="577" t="s">
        <v>903</v>
      </c>
      <c r="S37" s="582" t="s">
        <v>999</v>
      </c>
    </row>
    <row r="38" spans="2:19">
      <c r="B38" s="589" t="s">
        <v>905</v>
      </c>
      <c r="C38" s="569" t="s">
        <v>893</v>
      </c>
      <c r="D38" s="569" t="s">
        <v>894</v>
      </c>
      <c r="E38" s="570" t="s">
        <v>1084</v>
      </c>
      <c r="F38" s="571" t="s">
        <v>1085</v>
      </c>
      <c r="G38" s="572" t="s">
        <v>228</v>
      </c>
      <c r="H38" s="572" t="s">
        <v>920</v>
      </c>
      <c r="I38" s="573">
        <v>6.13</v>
      </c>
      <c r="J38" s="602" t="s"/>
      <c r="K38" s="572" t="s"/>
      <c r="L38" s="574" t="s"/>
      <c r="M38" s="571" t="s">
        <v>1086</v>
      </c>
      <c r="N38" s="575" t="s">
        <v>1061</v>
      </c>
      <c r="O38" s="571" t="s">
        <v>1087</v>
      </c>
      <c r="P38" s="575" t="s"/>
      <c r="Q38" s="571" t="s">
        <v>902</v>
      </c>
      <c r="R38" s="577" t="s">
        <v>903</v>
      </c>
      <c r="S38" s="582" t="s">
        <v>999</v>
      </c>
    </row>
    <row r="39" spans="1:29" s="783" customFormat="1">
      <c r="A39" s="740" t="s"/>
      <c r="B39" s="741" t="s"/>
      <c r="C39" s="742" t="s"/>
      <c r="D39" s="742" t="s"/>
      <c r="E39" s="743" t="s"/>
      <c r="F39" s="744" t="s"/>
      <c r="G39" s="744" t="s"/>
      <c r="H39" s="745" t="s"/>
      <c r="I39" s="745" t="s"/>
      <c r="J39" s="746" t="s"/>
      <c r="K39" s="745" t="s"/>
      <c r="L39" s="747" t="s"/>
      <c r="M39" s="744" t="s"/>
      <c r="N39" s="748" t="s"/>
      <c r="O39" s="744" t="s"/>
      <c r="P39" s="748" t="s"/>
      <c r="Q39" s="744" t="s"/>
      <c r="R39" s="749" t="s"/>
      <c r="S39" s="750" t="s"/>
      <c r="T39" s="740" t="s"/>
      <c r="U39" s="740" t="s"/>
      <c r="V39" s="740" t="s"/>
      <c r="W39" s="740" t="s"/>
      <c r="X39" s="740" t="s"/>
      <c r="Y39" s="740" t="s"/>
      <c r="Z39" s="740" t="s"/>
      <c r="AA39" s="740" t="s"/>
      <c r="AB39" s="740" t="s"/>
      <c r="AC39" s="740" t="s"/>
    </row>
    <row r="40" spans="1:29" s="783" customFormat="1">
      <c r="A40" s="740" t="s"/>
      <c r="B40" s="741" t="s"/>
      <c r="C40" s="742" t="s"/>
      <c r="D40" s="742" t="s"/>
      <c r="E40" s="743" t="s"/>
      <c r="F40" s="744" t="s"/>
      <c r="G40" s="744" t="s"/>
      <c r="H40" s="745" t="s"/>
      <c r="I40" s="745" t="s"/>
      <c r="J40" s="746" t="s"/>
      <c r="K40" s="745" t="s"/>
      <c r="L40" s="747" t="s"/>
      <c r="M40" s="744" t="s"/>
      <c r="N40" s="748" t="s"/>
      <c r="O40" s="744" t="s"/>
      <c r="P40" s="748" t="s"/>
      <c r="Q40" s="744" t="s"/>
      <c r="R40" s="749" t="s"/>
      <c r="S40" s="750" t="s"/>
      <c r="T40" s="740" t="s"/>
      <c r="U40" s="740" t="s"/>
      <c r="V40" s="740" t="s"/>
      <c r="W40" s="740" t="s"/>
      <c r="X40" s="740" t="s"/>
      <c r="Y40" s="740" t="s"/>
      <c r="Z40" s="740" t="s"/>
      <c r="AA40" s="740" t="s"/>
      <c r="AB40" s="740" t="s"/>
      <c r="AC40" s="740" t="s"/>
    </row>
    <row r="41" spans="2:19">
      <c r="B41" s="589" t="s">
        <v>905</v>
      </c>
      <c r="C41" s="569" t="s">
        <v>893</v>
      </c>
      <c r="D41" s="569" t="s">
        <v>894</v>
      </c>
      <c r="E41" s="570" t="s">
        <v>1088</v>
      </c>
      <c r="F41" s="571" t="s">
        <v>1089</v>
      </c>
      <c r="G41" s="571" t="s">
        <v>228</v>
      </c>
      <c r="H41" s="572" t="s">
        <v>897</v>
      </c>
      <c r="I41" s="573">
        <v>2.2</v>
      </c>
      <c r="J41" s="574">
        <v>2</v>
      </c>
      <c r="K41" s="573">
        <v>3.5</v>
      </c>
      <c r="L41" s="574" t="s"/>
      <c r="M41" s="571" t="s">
        <v>455</v>
      </c>
      <c r="N41" s="575" t="s">
        <v>1090</v>
      </c>
      <c r="O41" s="571" t="s">
        <v>1091</v>
      </c>
      <c r="P41" s="576">
        <v>46308.75</v>
      </c>
      <c r="Q41" s="571" t="s">
        <v>902</v>
      </c>
      <c r="R41" s="577" t="s">
        <v>903</v>
      </c>
      <c r="S41" s="582" t="s">
        <v>955</v>
      </c>
    </row>
    <row r="42" spans="2:19">
      <c r="B42" s="589" t="s">
        <v>905</v>
      </c>
      <c r="C42" s="569" t="s">
        <v>906</v>
      </c>
      <c r="D42" s="569" t="s">
        <v>894</v>
      </c>
      <c r="E42" s="570" t="s">
        <v>1092</v>
      </c>
      <c r="F42" s="571" t="s">
        <v>1093</v>
      </c>
      <c r="G42" s="572" t="s">
        <v>909</v>
      </c>
      <c r="H42" s="572" t="s">
        <v>934</v>
      </c>
      <c r="I42" s="573">
        <v>20</v>
      </c>
      <c r="J42" s="574">
        <v>2</v>
      </c>
      <c r="K42" s="573">
        <v>3</v>
      </c>
      <c r="L42" s="574" t="s"/>
      <c r="M42" s="571" t="s">
        <v>477</v>
      </c>
      <c r="N42" s="575" t="s">
        <v>1090</v>
      </c>
      <c r="O42" s="571" t="s">
        <v>1094</v>
      </c>
      <c r="P42" s="576">
        <v>46308.75</v>
      </c>
      <c r="Q42" s="571" t="s">
        <v>994</v>
      </c>
      <c r="R42" s="577" t="s">
        <v>913</v>
      </c>
      <c r="S42" s="582" t="s">
        <v>1041</v>
      </c>
    </row>
    <row r="43" spans="2:19">
      <c r="B43" s="589" t="s">
        <v>905</v>
      </c>
      <c r="C43" s="569" t="s">
        <v>893</v>
      </c>
      <c r="D43" s="569" t="s">
        <v>894</v>
      </c>
      <c r="E43" s="570" t="s">
        <v>1095</v>
      </c>
      <c r="F43" s="571" t="s">
        <v>1096</v>
      </c>
      <c r="G43" s="571" t="s">
        <v>1097</v>
      </c>
      <c r="H43" s="572" t="s">
        <v>920</v>
      </c>
      <c r="I43" s="572" t="s">
        <v>1098</v>
      </c>
      <c r="J43" s="574">
        <v>2</v>
      </c>
      <c r="K43" s="573">
        <v>3</v>
      </c>
      <c r="L43" s="574" t="s"/>
      <c r="M43" s="571" t="s">
        <v>1099</v>
      </c>
      <c r="N43" s="575" t="s">
        <v>1090</v>
      </c>
      <c r="O43" s="571" t="s">
        <v>1100</v>
      </c>
      <c r="P43" s="576">
        <v>46308.75</v>
      </c>
      <c r="Q43" s="571" t="s">
        <v>902</v>
      </c>
      <c r="R43" s="577" t="s">
        <v>938</v>
      </c>
      <c r="S43" s="583">
        <v>6</v>
      </c>
    </row>
    <row r="44" spans="2:19">
      <c r="B44" s="589" t="s">
        <v>905</v>
      </c>
      <c r="C44" s="569" t="s">
        <v>2363</v>
      </c>
      <c r="D44" s="569" t="s">
        <v>894</v>
      </c>
      <c r="E44" s="570" t="s">
        <v>1101</v>
      </c>
      <c r="F44" s="571" t="s">
        <v>1102</v>
      </c>
      <c r="G44" s="571" t="s">
        <v>1097</v>
      </c>
      <c r="H44" s="572" t="s">
        <v>934</v>
      </c>
      <c r="I44" s="572" t="s">
        <v>1103</v>
      </c>
      <c r="J44" s="574">
        <v>2</v>
      </c>
      <c r="K44" s="573">
        <v>3</v>
      </c>
      <c r="L44" s="574" t="s"/>
      <c r="M44" s="571" t="s">
        <v>546</v>
      </c>
      <c r="N44" s="575" t="s">
        <v>1090</v>
      </c>
      <c r="O44" s="571" t="s">
        <v>1104</v>
      </c>
      <c r="P44" s="576">
        <v>46308.75</v>
      </c>
      <c r="Q44" s="571" t="s">
        <v>902</v>
      </c>
      <c r="R44" s="577" t="s">
        <v>938</v>
      </c>
      <c r="S44" s="582" t="s">
        <v>1105</v>
      </c>
    </row>
    <row r="45" spans="2:19">
      <c r="B45" s="589" t="s">
        <v>905</v>
      </c>
      <c r="C45" s="569" t="s">
        <v>893</v>
      </c>
      <c r="D45" s="569" t="s">
        <v>894</v>
      </c>
      <c r="E45" s="570" t="s">
        <v>1106</v>
      </c>
      <c r="F45" s="571" t="s">
        <v>1107</v>
      </c>
      <c r="G45" s="572" t="s">
        <v>228</v>
      </c>
      <c r="H45" s="572" t="s">
        <v>920</v>
      </c>
      <c r="I45" s="572" t="s">
        <v>1098</v>
      </c>
      <c r="J45" s="574">
        <v>1.8</v>
      </c>
      <c r="K45" s="573">
        <v>2.8</v>
      </c>
      <c r="L45" s="574" t="s"/>
      <c r="M45" s="571" t="s">
        <v>1099</v>
      </c>
      <c r="N45" s="575" t="s">
        <v>1090</v>
      </c>
      <c r="O45" s="571" t="s">
        <v>1100</v>
      </c>
      <c r="P45" s="576">
        <v>46308.75</v>
      </c>
      <c r="Q45" s="571" t="s">
        <v>902</v>
      </c>
      <c r="R45" s="577" t="s">
        <v>938</v>
      </c>
      <c r="S45" s="583">
        <v>6</v>
      </c>
    </row>
    <row r="46" spans="2:19">
      <c r="B46" s="589" t="s">
        <v>905</v>
      </c>
      <c r="C46" s="569" t="s">
        <v>2363</v>
      </c>
      <c r="D46" s="569" t="s">
        <v>894</v>
      </c>
      <c r="E46" s="570" t="s">
        <v>1108</v>
      </c>
      <c r="F46" s="571" t="s">
        <v>1109</v>
      </c>
      <c r="G46" s="572" t="s">
        <v>228</v>
      </c>
      <c r="H46" s="572" t="s">
        <v>934</v>
      </c>
      <c r="I46" s="572" t="s">
        <v>1103</v>
      </c>
      <c r="J46" s="574">
        <v>1.8</v>
      </c>
      <c r="K46" s="573">
        <v>2.8</v>
      </c>
      <c r="L46" s="574" t="s"/>
      <c r="M46" s="571" t="s">
        <v>546</v>
      </c>
      <c r="N46" s="575" t="s">
        <v>1090</v>
      </c>
      <c r="O46" s="571" t="s">
        <v>1104</v>
      </c>
      <c r="P46" s="576">
        <v>46308.75</v>
      </c>
      <c r="Q46" s="571" t="s">
        <v>902</v>
      </c>
      <c r="R46" s="577" t="s">
        <v>938</v>
      </c>
      <c r="S46" s="582" t="s">
        <v>1105</v>
      </c>
    </row>
    <row r="47" spans="2:19">
      <c r="B47" s="589" t="s">
        <v>905</v>
      </c>
      <c r="C47" s="569" t="s">
        <v>893</v>
      </c>
      <c r="D47" s="569" t="s">
        <v>894</v>
      </c>
      <c r="E47" s="570" t="s">
        <v>1110</v>
      </c>
      <c r="F47" s="571" t="s">
        <v>1111</v>
      </c>
      <c r="G47" s="572" t="s">
        <v>228</v>
      </c>
      <c r="H47" s="572" t="s">
        <v>920</v>
      </c>
      <c r="I47" s="573">
        <v>14</v>
      </c>
      <c r="J47" s="574">
        <v>1.8</v>
      </c>
      <c r="K47" s="573">
        <v>2.8</v>
      </c>
      <c r="L47" s="574" t="s"/>
      <c r="M47" s="571" t="s">
        <v>499</v>
      </c>
      <c r="N47" s="575" t="s">
        <v>1090</v>
      </c>
      <c r="O47" s="571" t="s">
        <v>1112</v>
      </c>
      <c r="P47" s="576">
        <v>46308.75</v>
      </c>
      <c r="Q47" s="571" t="s">
        <v>902</v>
      </c>
      <c r="R47" s="577" t="s">
        <v>903</v>
      </c>
      <c r="S47" s="582" t="s">
        <v>1105</v>
      </c>
    </row>
    <row r="48" spans="2:19">
      <c r="B48" s="589" t="s">
        <v>905</v>
      </c>
      <c r="C48" s="569" t="s">
        <v>893</v>
      </c>
      <c r="D48" s="569" t="s">
        <v>894</v>
      </c>
      <c r="E48" s="570" t="s">
        <v>1113</v>
      </c>
      <c r="F48" s="571" t="s">
        <v>1114</v>
      </c>
      <c r="G48" s="571" t="s">
        <v>947</v>
      </c>
      <c r="H48" s="572" t="s">
        <v>920</v>
      </c>
      <c r="I48" s="573">
        <v>5</v>
      </c>
      <c r="J48" s="574">
        <v>1.7</v>
      </c>
      <c r="K48" s="573">
        <v>2.7</v>
      </c>
      <c r="L48" s="574" t="s"/>
      <c r="M48" s="571" t="s">
        <v>1115</v>
      </c>
      <c r="N48" s="575" t="s">
        <v>1090</v>
      </c>
      <c r="O48" s="571" t="s">
        <v>1116</v>
      </c>
      <c r="P48" s="576">
        <v>46308.75</v>
      </c>
      <c r="Q48" s="571" t="s">
        <v>902</v>
      </c>
      <c r="R48" s="577" t="s">
        <v>903</v>
      </c>
      <c r="S48" s="583">
        <v>7</v>
      </c>
    </row>
    <row r="49" spans="2:19">
      <c r="B49" s="589" t="s">
        <v>905</v>
      </c>
      <c r="C49" s="569" t="s">
        <v>1117</v>
      </c>
      <c r="D49" s="569" t="s">
        <v>894</v>
      </c>
      <c r="E49" s="570" t="s">
        <v>1118</v>
      </c>
      <c r="F49" s="571" t="s">
        <v>1119</v>
      </c>
      <c r="G49" s="572" t="s">
        <v>228</v>
      </c>
      <c r="H49" s="572" t="s">
        <v>934</v>
      </c>
      <c r="I49" s="573">
        <v>5</v>
      </c>
      <c r="J49" s="574">
        <v>1.7</v>
      </c>
      <c r="K49" s="573">
        <v>2.7</v>
      </c>
      <c r="L49" s="574" t="s"/>
      <c r="M49" s="571" t="s">
        <v>544</v>
      </c>
      <c r="N49" s="575" t="s">
        <v>1090</v>
      </c>
      <c r="O49" s="571" t="s">
        <v>1120</v>
      </c>
      <c r="P49" s="576">
        <v>46308.75</v>
      </c>
      <c r="Q49" s="572" t="s">
        <v>902</v>
      </c>
      <c r="R49" s="577" t="s">
        <v>1121</v>
      </c>
      <c r="S49" s="582" t="s">
        <v>1013</v>
      </c>
    </row>
    <row r="50" spans="2:19">
      <c r="B50" s="589" t="s">
        <v>905</v>
      </c>
      <c r="C50" s="569" t="s">
        <v>893</v>
      </c>
      <c r="D50" s="569" t="s">
        <v>894</v>
      </c>
      <c r="E50" s="570" t="s">
        <v>1122</v>
      </c>
      <c r="F50" s="571" t="s">
        <v>1123</v>
      </c>
      <c r="G50" s="572" t="s">
        <v>228</v>
      </c>
      <c r="H50" s="572" t="s">
        <v>897</v>
      </c>
      <c r="I50" s="572" t="s">
        <v>1124</v>
      </c>
      <c r="J50" s="574">
        <v>1.7</v>
      </c>
      <c r="K50" s="573">
        <v>2.7</v>
      </c>
      <c r="L50" s="602" t="s">
        <v>1125</v>
      </c>
      <c r="M50" s="571" t="s">
        <v>1126</v>
      </c>
      <c r="N50" s="575" t="s">
        <v>1090</v>
      </c>
      <c r="O50" s="571" t="s">
        <v>1127</v>
      </c>
      <c r="P50" s="576">
        <v>46308.7083333333</v>
      </c>
      <c r="Q50" s="571" t="s">
        <v>902</v>
      </c>
      <c r="R50" s="577" t="s">
        <v>903</v>
      </c>
      <c r="S50" s="582" t="s">
        <v>904</v>
      </c>
    </row>
    <row r="51" spans="2:19">
      <c r="B51" s="589" t="s">
        <v>905</v>
      </c>
      <c r="C51" s="569" t="s">
        <v>1117</v>
      </c>
      <c r="D51" s="569" t="s">
        <v>894</v>
      </c>
      <c r="E51" s="570" t="s">
        <v>1128</v>
      </c>
      <c r="F51" s="571" t="s">
        <v>1129</v>
      </c>
      <c r="G51" s="572" t="s">
        <v>228</v>
      </c>
      <c r="H51" s="572" t="s">
        <v>934</v>
      </c>
      <c r="I51" s="572" t="s">
        <v>1130</v>
      </c>
      <c r="J51" s="574">
        <v>1.7</v>
      </c>
      <c r="K51" s="573">
        <v>2.7</v>
      </c>
      <c r="L51" s="574" t="s"/>
      <c r="M51" s="571" t="s">
        <v>533</v>
      </c>
      <c r="N51" s="575" t="s">
        <v>1090</v>
      </c>
      <c r="O51" s="571" t="s">
        <v>1131</v>
      </c>
      <c r="P51" s="576">
        <v>46308.75</v>
      </c>
      <c r="Q51" s="571" t="s">
        <v>902</v>
      </c>
      <c r="R51" s="577" t="s">
        <v>938</v>
      </c>
      <c r="S51" s="582" t="s">
        <v>1041</v>
      </c>
    </row>
    <row r="52" spans="2:19">
      <c r="B52" s="589" t="s">
        <v>905</v>
      </c>
      <c r="C52" s="569" t="s">
        <v>1117</v>
      </c>
      <c r="D52" s="569" t="s">
        <v>894</v>
      </c>
      <c r="E52" s="570" t="s">
        <v>1132</v>
      </c>
      <c r="F52" s="571" t="s">
        <v>1133</v>
      </c>
      <c r="G52" s="572" t="s">
        <v>947</v>
      </c>
      <c r="H52" s="572" t="s">
        <v>934</v>
      </c>
      <c r="I52" s="572" t="s">
        <v>1130</v>
      </c>
      <c r="J52" s="574">
        <v>1.5</v>
      </c>
      <c r="K52" s="573">
        <v>2.5</v>
      </c>
      <c r="L52" s="574" t="s"/>
      <c r="M52" s="571" t="s">
        <v>533</v>
      </c>
      <c r="N52" s="575" t="s">
        <v>1090</v>
      </c>
      <c r="O52" s="571" t="s">
        <v>1131</v>
      </c>
      <c r="P52" s="576">
        <v>46308.75</v>
      </c>
      <c r="Q52" s="571" t="s">
        <v>902</v>
      </c>
      <c r="R52" s="577" t="s">
        <v>938</v>
      </c>
      <c r="S52" s="582" t="s">
        <v>1041</v>
      </c>
    </row>
    <row r="53" spans="2:19">
      <c r="B53" s="589" t="s">
        <v>905</v>
      </c>
      <c r="C53" s="569" t="s">
        <v>1134</v>
      </c>
      <c r="D53" s="569" t="s">
        <v>894</v>
      </c>
      <c r="E53" s="570" t="s">
        <v>1135</v>
      </c>
      <c r="F53" s="571" t="s">
        <v>1136</v>
      </c>
      <c r="G53" s="571" t="s">
        <v>228</v>
      </c>
      <c r="H53" s="572" t="s">
        <v>934</v>
      </c>
      <c r="I53" s="573">
        <v>15</v>
      </c>
      <c r="J53" s="574">
        <v>1.5</v>
      </c>
      <c r="K53" s="573">
        <v>2.5</v>
      </c>
      <c r="L53" s="574" t="s"/>
      <c r="M53" s="571" t="s">
        <v>943</v>
      </c>
      <c r="N53" s="575" t="s">
        <v>1090</v>
      </c>
      <c r="O53" s="571" t="s">
        <v>1137</v>
      </c>
      <c r="P53" s="576">
        <v>46308.75</v>
      </c>
      <c r="Q53" s="571" t="s">
        <v>902</v>
      </c>
      <c r="R53" s="577" t="s">
        <v>966</v>
      </c>
      <c r="S53" s="582" t="s">
        <v>995</v>
      </c>
    </row>
    <row r="54" spans="2:19">
      <c r="B54" s="595" t="s">
        <v>1138</v>
      </c>
      <c r="C54" s="569" t="s">
        <v>893</v>
      </c>
      <c r="D54" s="569" t="s">
        <v>894</v>
      </c>
      <c r="E54" s="570" t="s">
        <v>1139</v>
      </c>
      <c r="F54" s="571" t="s">
        <v>1140</v>
      </c>
      <c r="G54" s="572" t="s">
        <v>228</v>
      </c>
      <c r="H54" s="572" t="s">
        <v>897</v>
      </c>
      <c r="I54" s="572" t="s">
        <v>1141</v>
      </c>
      <c r="J54" s="574">
        <v>2</v>
      </c>
      <c r="K54" s="573">
        <v>2.5</v>
      </c>
      <c r="L54" s="602" t="s">
        <v>1142</v>
      </c>
      <c r="M54" s="571" t="s">
        <v>487</v>
      </c>
      <c r="N54" s="575" t="s">
        <v>1090</v>
      </c>
      <c r="O54" s="571" t="s">
        <v>1143</v>
      </c>
      <c r="P54" s="576">
        <v>46308.75</v>
      </c>
      <c r="Q54" s="572" t="s">
        <v>902</v>
      </c>
      <c r="R54" s="577" t="s">
        <v>903</v>
      </c>
      <c r="S54" s="582" t="s">
        <v>955</v>
      </c>
    </row>
    <row r="55" spans="2:19">
      <c r="B55" s="595" t="s">
        <v>1138</v>
      </c>
      <c r="C55" s="569" t="s">
        <v>893</v>
      </c>
      <c r="D55" s="569" t="s">
        <v>894</v>
      </c>
      <c r="E55" s="570" t="s">
        <v>1144</v>
      </c>
      <c r="F55" s="571" t="s">
        <v>1145</v>
      </c>
      <c r="G55" s="571" t="s">
        <v>228</v>
      </c>
      <c r="H55" s="572" t="s">
        <v>897</v>
      </c>
      <c r="I55" s="572" t="s">
        <v>1146</v>
      </c>
      <c r="J55" s="574">
        <v>2</v>
      </c>
      <c r="K55" s="573">
        <v>2.5</v>
      </c>
      <c r="L55" s="602" t="s">
        <v>1147</v>
      </c>
      <c r="M55" s="571" t="s">
        <v>487</v>
      </c>
      <c r="N55" s="575" t="s">
        <v>1090</v>
      </c>
      <c r="O55" s="571" t="s">
        <v>1143</v>
      </c>
      <c r="P55" s="576">
        <v>46308.75</v>
      </c>
      <c r="Q55" s="571" t="s">
        <v>902</v>
      </c>
      <c r="R55" s="577" t="s">
        <v>903</v>
      </c>
      <c r="S55" s="582" t="s">
        <v>955</v>
      </c>
    </row>
    <row r="56" spans="2:19">
      <c r="B56" s="589" t="s">
        <v>905</v>
      </c>
      <c r="C56" s="569" t="s">
        <v>2362</v>
      </c>
      <c r="D56" s="569" t="s">
        <v>894</v>
      </c>
      <c r="E56" s="570" t="s">
        <v>1148</v>
      </c>
      <c r="F56" s="571" t="s">
        <v>1149</v>
      </c>
      <c r="G56" s="572" t="s">
        <v>228</v>
      </c>
      <c r="H56" s="572" t="s">
        <v>920</v>
      </c>
      <c r="I56" s="573">
        <v>8</v>
      </c>
      <c r="J56" s="574">
        <v>1.5</v>
      </c>
      <c r="K56" s="573">
        <v>2.5</v>
      </c>
      <c r="L56" s="574" t="s"/>
      <c r="M56" s="571" t="s">
        <v>562</v>
      </c>
      <c r="N56" s="575" t="s">
        <v>1090</v>
      </c>
      <c r="O56" s="571" t="s">
        <v>1150</v>
      </c>
      <c r="P56" s="576">
        <v>46308.75</v>
      </c>
      <c r="Q56" s="572" t="s">
        <v>902</v>
      </c>
      <c r="R56" s="577" t="s">
        <v>938</v>
      </c>
      <c r="S56" s="582" t="s">
        <v>1013</v>
      </c>
    </row>
    <row r="57" spans="2:19">
      <c r="B57" s="589" t="s">
        <v>905</v>
      </c>
      <c r="C57" s="569" t="s">
        <v>1151</v>
      </c>
      <c r="D57" s="569" t="s">
        <v>894</v>
      </c>
      <c r="E57" s="570" t="s">
        <v>1152</v>
      </c>
      <c r="F57" s="571" t="s">
        <v>1153</v>
      </c>
      <c r="G57" s="572" t="s">
        <v>228</v>
      </c>
      <c r="H57" s="572" t="s">
        <v>920</v>
      </c>
      <c r="I57" s="573">
        <v>5</v>
      </c>
      <c r="J57" s="574">
        <v>1.5</v>
      </c>
      <c r="K57" s="573">
        <v>2.5</v>
      </c>
      <c r="L57" s="574" t="s"/>
      <c r="M57" s="571" t="s">
        <v>529</v>
      </c>
      <c r="N57" s="575" t="s">
        <v>1090</v>
      </c>
      <c r="O57" s="571" t="s">
        <v>1154</v>
      </c>
      <c r="P57" s="576">
        <v>46308.7083333333</v>
      </c>
      <c r="Q57" s="571" t="s">
        <v>902</v>
      </c>
      <c r="R57" s="577" t="s">
        <v>938</v>
      </c>
      <c r="S57" s="582" t="s">
        <v>1041</v>
      </c>
    </row>
    <row r="58" spans="2:19">
      <c r="B58" s="603" t="s">
        <v>1155</v>
      </c>
      <c r="C58" s="569" t="s">
        <v>1156</v>
      </c>
      <c r="D58" s="569" t="s">
        <v>894</v>
      </c>
      <c r="E58" s="570" t="s">
        <v>1157</v>
      </c>
      <c r="F58" s="571" t="s">
        <v>1158</v>
      </c>
      <c r="G58" s="572" t="s">
        <v>228</v>
      </c>
      <c r="H58" s="572" t="s">
        <v>934</v>
      </c>
      <c r="I58" s="573">
        <v>10</v>
      </c>
      <c r="J58" s="574">
        <v>1.5</v>
      </c>
      <c r="K58" s="573">
        <v>2.5</v>
      </c>
      <c r="L58" s="574" t="s"/>
      <c r="M58" s="571" t="s">
        <v>533</v>
      </c>
      <c r="N58" s="575" t="s">
        <v>1090</v>
      </c>
      <c r="O58" s="571" t="s">
        <v>1159</v>
      </c>
      <c r="P58" s="576">
        <v>46308.75</v>
      </c>
      <c r="Q58" s="572" t="s">
        <v>902</v>
      </c>
      <c r="R58" s="577" t="s">
        <v>1160</v>
      </c>
      <c r="S58" s="582" t="s">
        <v>1018</v>
      </c>
    </row>
    <row r="59" spans="2:19">
      <c r="B59" s="589" t="s">
        <v>905</v>
      </c>
      <c r="C59" s="569" t="s">
        <v>893</v>
      </c>
      <c r="D59" s="569" t="s">
        <v>894</v>
      </c>
      <c r="E59" s="570" t="s">
        <v>1161</v>
      </c>
      <c r="F59" s="571" t="s">
        <v>1162</v>
      </c>
      <c r="G59" s="572" t="s">
        <v>228</v>
      </c>
      <c r="H59" s="572" t="s">
        <v>920</v>
      </c>
      <c r="I59" s="572" t="s">
        <v>1124</v>
      </c>
      <c r="J59" s="574">
        <v>1.5</v>
      </c>
      <c r="K59" s="573">
        <v>2.5</v>
      </c>
      <c r="L59" s="574" t="s"/>
      <c r="M59" s="571" t="s">
        <v>943</v>
      </c>
      <c r="N59" s="575" t="s">
        <v>1090</v>
      </c>
      <c r="O59" s="571" t="s">
        <v>1163</v>
      </c>
      <c r="P59" s="576">
        <v>46308.75</v>
      </c>
      <c r="Q59" s="571" t="s">
        <v>902</v>
      </c>
      <c r="R59" s="577" t="s">
        <v>903</v>
      </c>
      <c r="S59" s="582" t="s">
        <v>999</v>
      </c>
    </row>
    <row r="60" spans="2:19">
      <c r="B60" s="589" t="s">
        <v>905</v>
      </c>
      <c r="C60" s="569" t="s">
        <v>1134</v>
      </c>
      <c r="D60" s="569" t="s">
        <v>894</v>
      </c>
      <c r="E60" s="570" t="s">
        <v>1164</v>
      </c>
      <c r="F60" s="571" t="s">
        <v>1165</v>
      </c>
      <c r="G60" s="572" t="s">
        <v>909</v>
      </c>
      <c r="H60" s="572" t="s">
        <v>934</v>
      </c>
      <c r="I60" s="573">
        <v>10</v>
      </c>
      <c r="J60" s="574">
        <v>1.4</v>
      </c>
      <c r="K60" s="573">
        <v>2.4</v>
      </c>
      <c r="L60" s="574" t="s"/>
      <c r="M60" s="571" t="s">
        <v>1166</v>
      </c>
      <c r="N60" s="575" t="s">
        <v>1090</v>
      </c>
      <c r="O60" s="571" t="s">
        <v>1167</v>
      </c>
      <c r="P60" s="576">
        <v>46308.75</v>
      </c>
      <c r="Q60" s="572" t="s">
        <v>902</v>
      </c>
      <c r="R60" s="577" t="s">
        <v>966</v>
      </c>
      <c r="S60" s="583">
        <v>4</v>
      </c>
    </row>
    <row r="61" spans="2:19">
      <c r="B61" s="589" t="s">
        <v>905</v>
      </c>
      <c r="C61" s="569" t="s">
        <v>1117</v>
      </c>
      <c r="D61" s="569" t="s">
        <v>894</v>
      </c>
      <c r="E61" s="570" t="s">
        <v>1168</v>
      </c>
      <c r="F61" s="571" t="s">
        <v>1169</v>
      </c>
      <c r="G61" s="572" t="s">
        <v>228</v>
      </c>
      <c r="H61" s="572" t="s">
        <v>934</v>
      </c>
      <c r="I61" s="573">
        <v>5</v>
      </c>
      <c r="J61" s="574">
        <v>1.4</v>
      </c>
      <c r="K61" s="573">
        <v>2.4</v>
      </c>
      <c r="L61" s="574" t="s"/>
      <c r="M61" s="571" t="s">
        <v>448</v>
      </c>
      <c r="N61" s="575" t="s">
        <v>1090</v>
      </c>
      <c r="O61" s="571" t="s">
        <v>1170</v>
      </c>
      <c r="P61" s="576">
        <v>46308.75</v>
      </c>
      <c r="Q61" s="571" t="s">
        <v>902</v>
      </c>
      <c r="R61" s="577" t="s">
        <v>1160</v>
      </c>
      <c r="S61" s="582" t="s">
        <v>1041</v>
      </c>
    </row>
    <row r="62" spans="2:19">
      <c r="B62" s="595" t="s">
        <v>1171</v>
      </c>
      <c r="C62" s="569" t="s">
        <v>967</v>
      </c>
      <c r="D62" s="569" t="s">
        <v>894</v>
      </c>
      <c r="E62" s="570" t="s">
        <v>1172</v>
      </c>
      <c r="F62" s="571" t="s">
        <v>1173</v>
      </c>
      <c r="G62" s="572" t="s">
        <v>228</v>
      </c>
      <c r="H62" s="572" t="s">
        <v>1174</v>
      </c>
      <c r="I62" s="573">
        <v>10</v>
      </c>
      <c r="J62" s="574">
        <v>1.4</v>
      </c>
      <c r="K62" s="573">
        <v>2.4</v>
      </c>
      <c r="L62" s="574" t="s"/>
      <c r="M62" s="571" t="s">
        <v>533</v>
      </c>
      <c r="N62" s="575" t="s">
        <v>1090</v>
      </c>
      <c r="O62" s="571" t="s">
        <v>1175</v>
      </c>
      <c r="P62" s="576">
        <v>46308.75</v>
      </c>
      <c r="Q62" s="571" t="s">
        <v>902</v>
      </c>
      <c r="R62" s="577" t="s">
        <v>974</v>
      </c>
      <c r="S62" s="582" t="s">
        <v>1018</v>
      </c>
    </row>
    <row r="63" spans="2:19">
      <c r="B63" s="564" t="s">
        <v>905</v>
      </c>
      <c r="C63" s="569" t="s">
        <v>1176</v>
      </c>
      <c r="D63" s="569" t="s">
        <v>894</v>
      </c>
      <c r="E63" s="570" t="s">
        <v>1177</v>
      </c>
      <c r="F63" s="571" t="s">
        <v>1178</v>
      </c>
      <c r="G63" s="572" t="s">
        <v>909</v>
      </c>
      <c r="H63" s="572" t="s">
        <v>920</v>
      </c>
      <c r="I63" s="573">
        <v>5</v>
      </c>
      <c r="J63" s="574">
        <v>1.4</v>
      </c>
      <c r="K63" s="573">
        <v>2.4</v>
      </c>
      <c r="L63" s="574" t="s"/>
      <c r="M63" s="571" t="s">
        <v>542</v>
      </c>
      <c r="N63" s="575" t="s">
        <v>1090</v>
      </c>
      <c r="O63" s="571" t="s">
        <v>1179</v>
      </c>
      <c r="P63" s="576">
        <v>46308.75</v>
      </c>
      <c r="Q63" s="572" t="s">
        <v>902</v>
      </c>
      <c r="R63" s="577" t="s">
        <v>938</v>
      </c>
      <c r="S63" s="582" t="s">
        <v>1105</v>
      </c>
    </row>
    <row r="64" spans="2:19">
      <c r="B64" s="605" t="s">
        <v>905</v>
      </c>
      <c r="C64" s="569" t="s">
        <v>893</v>
      </c>
      <c r="D64" s="569" t="s">
        <v>894</v>
      </c>
      <c r="E64" s="606" t="s">
        <v>1180</v>
      </c>
      <c r="F64" s="607" t="s">
        <v>1181</v>
      </c>
      <c r="G64" s="607" t="s">
        <v>909</v>
      </c>
      <c r="H64" s="607" t="s">
        <v>897</v>
      </c>
      <c r="I64" s="608" t="s">
        <v>1124</v>
      </c>
      <c r="J64" s="609">
        <v>1.4</v>
      </c>
      <c r="K64" s="609">
        <v>2.4</v>
      </c>
      <c r="L64" s="608" t="s">
        <v>1125</v>
      </c>
      <c r="M64" s="607" t="s">
        <v>1126</v>
      </c>
      <c r="N64" s="607" t="s">
        <v>1090</v>
      </c>
      <c r="O64" s="607" t="s">
        <v>1127</v>
      </c>
      <c r="P64" s="610">
        <v>46308.7083333333</v>
      </c>
      <c r="Q64" s="607" t="s">
        <v>902</v>
      </c>
      <c r="R64" s="607" t="s">
        <v>903</v>
      </c>
      <c r="S64" s="607" t="s">
        <v>904</v>
      </c>
    </row>
    <row r="65" spans="2:19">
      <c r="B65" s="605" t="s">
        <v>905</v>
      </c>
      <c r="C65" s="569" t="s">
        <v>1033</v>
      </c>
      <c r="D65" s="569" t="s">
        <v>894</v>
      </c>
      <c r="E65" s="606" t="s">
        <v>1182</v>
      </c>
      <c r="F65" s="607" t="s">
        <v>1183</v>
      </c>
      <c r="G65" s="607" t="s">
        <v>1184</v>
      </c>
      <c r="H65" s="607" t="s">
        <v>934</v>
      </c>
      <c r="I65" s="609">
        <v>6</v>
      </c>
      <c r="J65" s="609">
        <v>1.4</v>
      </c>
      <c r="K65" s="609">
        <v>2.4</v>
      </c>
      <c r="L65" s="609" t="s"/>
      <c r="M65" s="607" t="s">
        <v>544</v>
      </c>
      <c r="N65" s="607" t="s">
        <v>1090</v>
      </c>
      <c r="O65" s="607" t="s">
        <v>1185</v>
      </c>
      <c r="P65" s="610">
        <v>46308.75</v>
      </c>
      <c r="Q65" s="607" t="s">
        <v>902</v>
      </c>
      <c r="R65" s="607" t="s">
        <v>938</v>
      </c>
      <c r="S65" s="609">
        <v>4</v>
      </c>
    </row>
    <row r="66" spans="2:19">
      <c r="B66" s="605" t="s">
        <v>905</v>
      </c>
      <c r="C66" s="569" t="s">
        <v>893</v>
      </c>
      <c r="D66" s="569" t="s">
        <v>894</v>
      </c>
      <c r="E66" s="606" t="s">
        <v>1186</v>
      </c>
      <c r="F66" s="607" t="s">
        <v>1187</v>
      </c>
      <c r="G66" s="607" t="s">
        <v>947</v>
      </c>
      <c r="H66" s="607" t="s">
        <v>920</v>
      </c>
      <c r="I66" s="607" t="s">
        <v>1124</v>
      </c>
      <c r="J66" s="609">
        <v>1.3</v>
      </c>
      <c r="K66" s="609">
        <v>2.3</v>
      </c>
      <c r="L66" s="609" t="s"/>
      <c r="M66" s="607" t="s">
        <v>943</v>
      </c>
      <c r="N66" s="607" t="s">
        <v>1090</v>
      </c>
      <c r="O66" s="607" t="s">
        <v>1163</v>
      </c>
      <c r="P66" s="610">
        <v>46308.75</v>
      </c>
      <c r="Q66" s="607" t="s">
        <v>902</v>
      </c>
      <c r="R66" s="607" t="s">
        <v>903</v>
      </c>
      <c r="S66" s="607" t="s">
        <v>999</v>
      </c>
    </row>
    <row r="67" spans="2:19">
      <c r="B67" s="605" t="s">
        <v>905</v>
      </c>
      <c r="C67" s="569" t="s">
        <v>1188</v>
      </c>
      <c r="D67" s="569" t="s">
        <v>894</v>
      </c>
      <c r="E67" s="606" t="s">
        <v>1189</v>
      </c>
      <c r="F67" s="607" t="s">
        <v>1190</v>
      </c>
      <c r="G67" s="607" t="s">
        <v>909</v>
      </c>
      <c r="H67" s="607" t="s">
        <v>920</v>
      </c>
      <c r="I67" s="609">
        <v>5</v>
      </c>
      <c r="J67" s="609">
        <v>1.6</v>
      </c>
      <c r="K67" s="609">
        <v>2.3</v>
      </c>
      <c r="L67" s="609" t="s"/>
      <c r="M67" s="607" t="s">
        <v>1191</v>
      </c>
      <c r="N67" s="607" t="s">
        <v>1090</v>
      </c>
      <c r="O67" s="607" t="s">
        <v>1192</v>
      </c>
      <c r="P67" s="610">
        <v>46308.75</v>
      </c>
      <c r="Q67" s="607" t="s">
        <v>902</v>
      </c>
      <c r="R67" s="607" t="s">
        <v>938</v>
      </c>
      <c r="S67" s="609">
        <v>5</v>
      </c>
    </row>
    <row r="68" spans="2:19">
      <c r="B68" s="605" t="s">
        <v>905</v>
      </c>
      <c r="C68" s="569" t="s">
        <v>967</v>
      </c>
      <c r="D68" s="569" t="s">
        <v>894</v>
      </c>
      <c r="E68" s="606" t="s">
        <v>1193</v>
      </c>
      <c r="F68" s="607" t="s">
        <v>1194</v>
      </c>
      <c r="G68" s="607" t="s">
        <v>909</v>
      </c>
      <c r="H68" s="607" t="s">
        <v>934</v>
      </c>
      <c r="I68" s="609">
        <v>5</v>
      </c>
      <c r="J68" s="609">
        <v>1.2</v>
      </c>
      <c r="K68" s="609">
        <v>2.2</v>
      </c>
      <c r="L68" s="609" t="s"/>
      <c r="M68" s="607" t="s">
        <v>943</v>
      </c>
      <c r="N68" s="607" t="s">
        <v>1090</v>
      </c>
      <c r="O68" s="607" t="s">
        <v>1195</v>
      </c>
      <c r="P68" s="610">
        <v>46308.75</v>
      </c>
      <c r="Q68" s="607" t="s">
        <v>902</v>
      </c>
      <c r="R68" s="607" t="s">
        <v>903</v>
      </c>
      <c r="S68" s="607" t="s">
        <v>995</v>
      </c>
    </row>
    <row r="69" spans="2:19">
      <c r="B69" s="605" t="s">
        <v>905</v>
      </c>
      <c r="C69" s="569" t="s">
        <v>893</v>
      </c>
      <c r="D69" s="569" t="s">
        <v>894</v>
      </c>
      <c r="E69" s="606" t="s">
        <v>1196</v>
      </c>
      <c r="F69" s="607" t="s">
        <v>1197</v>
      </c>
      <c r="G69" s="607" t="s">
        <v>228</v>
      </c>
      <c r="H69" s="607" t="s">
        <v>920</v>
      </c>
      <c r="I69" s="609">
        <v>3</v>
      </c>
      <c r="J69" s="609">
        <v>1.7</v>
      </c>
      <c r="K69" s="609">
        <v>2.2</v>
      </c>
      <c r="L69" s="609" t="s"/>
      <c r="M69" s="607" t="s">
        <v>1198</v>
      </c>
      <c r="N69" s="607" t="s">
        <v>1090</v>
      </c>
      <c r="O69" s="607" t="s">
        <v>1199</v>
      </c>
      <c r="P69" s="610">
        <v>46308.7083333333</v>
      </c>
      <c r="Q69" s="607" t="s">
        <v>902</v>
      </c>
      <c r="R69" s="607" t="s">
        <v>903</v>
      </c>
      <c r="S69" s="609">
        <v>7</v>
      </c>
    </row>
    <row r="70" spans="2:19">
      <c r="B70" s="605" t="s">
        <v>905</v>
      </c>
      <c r="C70" s="569" t="s">
        <v>1200</v>
      </c>
      <c r="D70" s="569" t="s">
        <v>894</v>
      </c>
      <c r="E70" s="606" t="s">
        <v>1201</v>
      </c>
      <c r="F70" s="607" t="s">
        <v>1202</v>
      </c>
      <c r="G70" s="607" t="s">
        <v>933</v>
      </c>
      <c r="H70" s="607" t="s">
        <v>934</v>
      </c>
      <c r="I70" s="609">
        <v>9</v>
      </c>
      <c r="J70" s="609">
        <v>1.7</v>
      </c>
      <c r="K70" s="609">
        <v>2.7</v>
      </c>
      <c r="L70" s="609" t="s"/>
      <c r="M70" s="607" t="s">
        <v>544</v>
      </c>
      <c r="N70" s="607" t="s">
        <v>1203</v>
      </c>
      <c r="O70" s="607" t="s">
        <v>1204</v>
      </c>
      <c r="P70" s="610">
        <v>46308.75</v>
      </c>
      <c r="Q70" s="607" t="s">
        <v>902</v>
      </c>
      <c r="R70" s="607" t="s">
        <v>974</v>
      </c>
      <c r="S70" s="607" t="s">
        <v>1018</v>
      </c>
    </row>
    <row r="71" spans="2:19">
      <c r="B71" s="605" t="s">
        <v>905</v>
      </c>
      <c r="C71" s="569" t="s">
        <v>1134</v>
      </c>
      <c r="D71" s="569" t="s">
        <v>894</v>
      </c>
      <c r="E71" s="606" t="s">
        <v>1205</v>
      </c>
      <c r="F71" s="607" t="s">
        <v>1206</v>
      </c>
      <c r="G71" s="607" t="s">
        <v>947</v>
      </c>
      <c r="H71" s="607" t="s">
        <v>934</v>
      </c>
      <c r="I71" s="609">
        <v>8</v>
      </c>
      <c r="J71" s="609">
        <v>1.3</v>
      </c>
      <c r="K71" s="609">
        <v>2.3</v>
      </c>
      <c r="L71" s="609" t="s"/>
      <c r="M71" s="607" t="s">
        <v>544</v>
      </c>
      <c r="N71" s="607" t="s">
        <v>1203</v>
      </c>
      <c r="O71" s="607" t="s">
        <v>1207</v>
      </c>
      <c r="P71" s="610">
        <v>46308.75</v>
      </c>
      <c r="Q71" s="607" t="s">
        <v>994</v>
      </c>
      <c r="R71" s="607" t="s">
        <v>966</v>
      </c>
      <c r="S71" s="609">
        <v>6</v>
      </c>
    </row>
    <row r="72" spans="2:19">
      <c r="B72" s="605" t="s">
        <v>905</v>
      </c>
      <c r="C72" s="569" t="s">
        <v>1208</v>
      </c>
      <c r="D72" s="569" t="s">
        <v>894</v>
      </c>
      <c r="E72" s="606" t="s">
        <v>1209</v>
      </c>
      <c r="F72" s="607" t="s">
        <v>1210</v>
      </c>
      <c r="G72" s="607" t="s">
        <v>228</v>
      </c>
      <c r="H72" s="607" t="s">
        <v>934</v>
      </c>
      <c r="I72" s="609">
        <v>6</v>
      </c>
      <c r="J72" s="609">
        <v>1.2</v>
      </c>
      <c r="K72" s="609">
        <v>2.2</v>
      </c>
      <c r="L72" s="609" t="s"/>
      <c r="M72" s="607" t="s">
        <v>525</v>
      </c>
      <c r="N72" s="607" t="s">
        <v>1203</v>
      </c>
      <c r="O72" s="607" t="s">
        <v>1211</v>
      </c>
      <c r="P72" s="610">
        <v>46308.75</v>
      </c>
      <c r="Q72" s="607" t="s">
        <v>902</v>
      </c>
      <c r="R72" s="607" t="s">
        <v>974</v>
      </c>
      <c r="S72" s="607" t="s">
        <v>1018</v>
      </c>
    </row>
    <row r="73" spans="2:19">
      <c r="B73" s="605" t="s">
        <v>905</v>
      </c>
      <c r="C73" s="569" t="s">
        <v>1212</v>
      </c>
      <c r="D73" s="569" t="s">
        <v>894</v>
      </c>
      <c r="E73" s="606" t="s">
        <v>1213</v>
      </c>
      <c r="F73" s="607" t="s">
        <v>1214</v>
      </c>
      <c r="G73" s="607" t="s">
        <v>947</v>
      </c>
      <c r="H73" s="607" t="s">
        <v>1174</v>
      </c>
      <c r="I73" s="609">
        <v>10</v>
      </c>
      <c r="J73" s="609">
        <v>1.1</v>
      </c>
      <c r="K73" s="609">
        <v>2.1</v>
      </c>
      <c r="L73" s="609" t="s"/>
      <c r="M73" s="607" t="s">
        <v>542</v>
      </c>
      <c r="N73" s="607" t="s">
        <v>1203</v>
      </c>
      <c r="O73" s="607" t="s">
        <v>1215</v>
      </c>
      <c r="P73" s="610">
        <v>46308.75</v>
      </c>
      <c r="Q73" s="607" t="s">
        <v>994</v>
      </c>
      <c r="R73" s="607" t="s">
        <v>1216</v>
      </c>
      <c r="S73" s="607" t="s">
        <v>1013</v>
      </c>
    </row>
    <row r="74" spans="2:19">
      <c r="B74" s="579" t="s">
        <v>905</v>
      </c>
      <c r="C74" s="611" t="s">
        <v>1217</v>
      </c>
      <c r="D74" s="611" t="s">
        <v>894</v>
      </c>
      <c r="E74" s="606" t="s">
        <v>1218</v>
      </c>
      <c r="F74" s="607" t="s">
        <v>1219</v>
      </c>
      <c r="G74" s="607" t="s">
        <v>228</v>
      </c>
      <c r="H74" s="607" t="s">
        <v>1174</v>
      </c>
      <c r="I74" s="609">
        <v>15</v>
      </c>
      <c r="J74" s="609">
        <v>1.5</v>
      </c>
      <c r="K74" s="609">
        <v>2</v>
      </c>
      <c r="L74" s="609" t="s"/>
      <c r="M74" s="607" t="s">
        <v>1220</v>
      </c>
      <c r="N74" s="607" t="s">
        <v>1203</v>
      </c>
      <c r="O74" s="607" t="s">
        <v>1221</v>
      </c>
      <c r="P74" s="610">
        <v>46308.75</v>
      </c>
      <c r="Q74" s="607" t="s">
        <v>994</v>
      </c>
      <c r="R74" s="607" t="s">
        <v>1031</v>
      </c>
      <c r="S74" s="609">
        <v>5</v>
      </c>
    </row>
    <row r="75" spans="2:19">
      <c r="B75" s="612" t="s"/>
      <c r="E75" s="606" t="s"/>
      <c r="F75" s="607" t="s"/>
      <c r="G75" s="607" t="s"/>
      <c r="H75" s="607" t="s"/>
      <c r="I75" s="607" t="s"/>
      <c r="J75" s="609" t="s"/>
      <c r="K75" s="609" t="s"/>
      <c r="L75" s="609" t="s"/>
      <c r="M75" s="607" t="s"/>
      <c r="N75" s="607" t="s"/>
      <c r="O75" s="607" t="s"/>
      <c r="P75" s="610" t="s"/>
      <c r="Q75" s="607" t="s"/>
      <c r="R75" s="607" t="s"/>
      <c r="S75" s="607" t="s"/>
    </row>
    <row r="76" spans="5:19">
      <c r="E76" s="606" t="s"/>
      <c r="F76" s="607" t="s"/>
      <c r="G76" s="607" t="s"/>
      <c r="H76" s="607" t="s"/>
      <c r="I76" s="609" t="s"/>
      <c r="J76" s="609" t="s"/>
      <c r="K76" s="609" t="s"/>
      <c r="L76" s="609" t="s"/>
      <c r="M76" s="607" t="s"/>
      <c r="N76" s="607" t="s"/>
      <c r="O76" s="607" t="s"/>
      <c r="P76" s="610" t="s"/>
      <c r="Q76" s="607" t="s"/>
      <c r="R76" s="607" t="s"/>
      <c r="S76" s="607" t="s"/>
    </row>
    <row r="77" spans="5:19">
      <c r="E77" s="606" t="s"/>
      <c r="F77" s="607" t="s"/>
      <c r="G77" s="607" t="s"/>
      <c r="H77" s="607" t="s"/>
      <c r="I77" s="609" t="s"/>
      <c r="J77" s="609" t="s"/>
      <c r="K77" s="609" t="s"/>
      <c r="L77" s="609" t="s"/>
      <c r="M77" s="607" t="s"/>
      <c r="N77" s="607" t="s"/>
      <c r="O77" s="607" t="s"/>
      <c r="P77" s="610" t="s"/>
      <c r="Q77" s="607" t="s"/>
      <c r="R77" s="607" t="s"/>
      <c r="S77" s="607" t="s"/>
    </row>
    <row r="78" spans="5:19">
      <c r="E78" s="606" t="s"/>
      <c r="F78" s="607" t="s"/>
      <c r="G78" s="607" t="s"/>
      <c r="H78" s="607" t="s"/>
      <c r="I78" s="609" t="s"/>
      <c r="J78" s="609" t="s"/>
      <c r="K78" s="609" t="s"/>
      <c r="L78" s="609" t="s"/>
      <c r="M78" s="607" t="s"/>
      <c r="N78" s="607" t="s"/>
      <c r="O78" s="607" t="s"/>
      <c r="P78" s="610" t="s"/>
      <c r="Q78" s="607" t="s"/>
      <c r="R78" s="607" t="s"/>
      <c r="S78" s="607" t="s"/>
    </row>
    <row r="79" spans="5:19">
      <c r="E79" s="606" t="s"/>
      <c r="F79" s="607" t="s"/>
      <c r="G79" s="607" t="s"/>
      <c r="H79" s="607" t="s"/>
      <c r="I79" s="609" t="s"/>
      <c r="J79" s="609" t="s"/>
      <c r="K79" s="609" t="s"/>
      <c r="L79" s="609" t="s"/>
      <c r="M79" s="607" t="s"/>
      <c r="N79" s="607" t="s"/>
      <c r="O79" s="607" t="s"/>
      <c r="P79" s="610" t="s"/>
      <c r="Q79" s="607" t="s"/>
      <c r="R79" s="607" t="s"/>
      <c r="S79" s="607" t="s"/>
    </row>
    <row r="80" spans="5:19">
      <c r="E80" s="606" t="s"/>
      <c r="F80" s="607" t="s"/>
      <c r="G80" s="607" t="s"/>
      <c r="H80" s="607" t="s"/>
      <c r="I80" s="609" t="s"/>
      <c r="J80" s="609" t="s"/>
      <c r="K80" s="609" t="s"/>
      <c r="L80" s="609" t="s"/>
      <c r="M80" s="607" t="s"/>
      <c r="N80" s="607" t="s"/>
      <c r="O80" s="607" t="s"/>
      <c r="P80" s="610" t="s"/>
      <c r="Q80" s="607" t="s"/>
      <c r="R80" s="607" t="s"/>
      <c r="S80" s="607" t="s"/>
    </row>
  </sheetData>
  <customSheetViews>
    <customSheetView guid="{E0010F73-0D65-4719-AEF0-C2FB3CD92F9D}" filter="0" showAutoFilter="1" hiddenColumns="1">
      <autoFilter ref="A2:P2">
        <sortState ref="A3:P2"/>
      </autoFilter>
    </customSheetView>
    <customSheetView guid="{801163DE-AD48-4A21-9594-C1C1C9351521}" filter="0" showAutoFilter="1" hiddenColumns="1">
      <pane ySplit="2" topLeftCell="A3" state="frozen"/>
      <autoFilter ref="A2:P2">
        <sortState ref="A3:P2"/>
      </autoFilter>
    </customSheetView>
  </customSheetViews>
</worksheet>
</file>

<file path=xl/worksheets/sheet9.xml><?xml version="1.0" encoding="utf-8"?>
<worksheet xmlns="http://schemas.openxmlformats.org/spreadsheetml/2006/main">
  <sheetPr codeName="【入池进度表】"/>
  <dimension ref="K374"/>
  <sheetViews>
    <sheetView showFormulas="1" showGridLines="1" tabSelected="0" workbookViewId="0">
      <pane xSplit="11" ySplit="3" topLeftCell="L4" state="frozen"/>
    </sheetView>
  </sheetViews>
  <sheetFormatPr baseColWidth="8" defaultRowHeight="14"/>
  <cols>
    <col min="1" max="1" width="25.2227" style="788" customWidth="1"/>
    <col min="2" max="2" width="25.2227" style="789" customWidth="1"/>
    <col min="3" max="3" width="36.8242" style="790" customWidth="1"/>
    <col min="4" max="4" width="9.98438" style="791" customWidth="1"/>
    <col min="5" max="5" width="7.82422" style="790" customWidth="1"/>
    <col min="6" max="6" width="8.76172" style="792" customWidth="1"/>
    <col min="7" max="7" width="8.76172" style="793" customWidth="1"/>
    <col min="8" max="8" width="11.1914" style="790" customWidth="1"/>
    <col min="9" max="9" width="9.44141" style="794" customWidth="1"/>
    <col min="10" max="10" width="10.2539" style="795" customWidth="1"/>
    <col min="11" max="11" width="12.2734" style="796" customWidth="1"/>
  </cols>
  <sheetData>
    <row r="1" spans="1:11" ht="42.5" customHeight="1">
      <c r="A1" s="613" t="s">
        <v>1222</v>
      </c>
      <c r="B1" s="316" t="s"/>
      <c r="C1" s="316" t="s"/>
      <c r="D1" s="316" t="s"/>
      <c r="E1" s="316" t="s"/>
      <c r="F1" s="316" t="s"/>
      <c r="G1" s="316" t="s"/>
      <c r="H1" s="316" t="s"/>
      <c r="I1" s="316" t="s"/>
      <c r="J1" s="316" t="s"/>
      <c r="K1" s="316" t="s"/>
    </row>
    <row r="2" spans="1:11" s="787" customFormat="1" ht="15" customHeight="1">
      <c r="A2" s="614" t="s">
        <v>1223</v>
      </c>
      <c r="B2" s="615" t="s">
        <v>1224</v>
      </c>
      <c r="C2" s="616" t="s">
        <v>1225</v>
      </c>
      <c r="D2" s="617" t="s">
        <v>1226</v>
      </c>
      <c r="E2" s="614" t="s"/>
      <c r="F2" s="614" t="s"/>
      <c r="G2" s="616" t="s"/>
      <c r="H2" s="616" t="s"/>
      <c r="I2" s="618" t="s">
        <v>1227</v>
      </c>
      <c r="J2" s="616" t="s"/>
      <c r="K2" s="616" t="s">
        <v>1228</v>
      </c>
    </row>
    <row r="3" spans="1:11" s="787" customFormat="1" ht="15" customHeight="1">
      <c r="A3" s="316" t="s"/>
      <c r="B3" s="616" t="s"/>
      <c r="C3" s="616" t="s"/>
      <c r="D3" s="619" t="s">
        <v>1229</v>
      </c>
      <c r="E3" s="614" t="s">
        <v>1230</v>
      </c>
      <c r="F3" s="620" t="s">
        <v>1231</v>
      </c>
      <c r="G3" s="621" t="s">
        <v>1232</v>
      </c>
      <c r="H3" s="616" t="s">
        <v>1233</v>
      </c>
      <c r="I3" s="618" t="s">
        <v>1229</v>
      </c>
      <c r="J3" s="622" t="s">
        <v>1234</v>
      </c>
      <c r="K3" s="316" t="s"/>
    </row>
    <row r="4" spans="1:11">
      <c r="A4" s="623" t="s"/>
      <c r="B4" s="624" t="s">
        <v>1235</v>
      </c>
      <c r="C4" s="625" t="s">
        <v>1236</v>
      </c>
      <c r="D4" s="2" t="inlineStr">
        <is>
          <t>☑</t>
        </is>
      </c>
      <c r="E4" s="627" t="s">
        <v>1237</v>
      </c>
      <c r="F4" s="2" t="inlineStr">
        <is>
          <t>☑</t>
        </is>
      </c>
      <c r="G4" s="2" t="inlineStr">
        <is>
          <t>☑</t>
        </is>
      </c>
      <c r="H4" s="630" t="s">
        <v>1238</v>
      </c>
      <c r="I4" s="2" t="inlineStr">
        <is>
          <t>☑</t>
        </is>
      </c>
      <c r="J4" s="2" t="inlineStr">
        <is>
          <t>☑</t>
        </is>
      </c>
      <c r="K4" s="633" t="s">
        <v>424</v>
      </c>
    </row>
    <row r="5" spans="1:11">
      <c r="A5" s="634" t="s"/>
      <c r="B5" s="635" t="s">
        <v>1239</v>
      </c>
      <c r="D5" s="2" t="inlineStr">
        <is>
          <t>☑</t>
        </is>
      </c>
      <c r="F5" s="2" t="inlineStr">
        <is>
          <t>☑</t>
        </is>
      </c>
      <c r="G5" s="2" t="inlineStr">
        <is>
          <t>☑</t>
        </is>
      </c>
      <c r="H5" s="639">
        <v>4</v>
      </c>
      <c r="I5" s="2" t="inlineStr">
        <is>
          <t>☑</t>
        </is>
      </c>
      <c r="J5" s="2" t="inlineStr">
        <is>
          <t>☑</t>
        </is>
      </c>
      <c r="K5" s="642" t="s">
        <v>277</v>
      </c>
    </row>
    <row r="6" spans="1:11">
      <c r="A6" s="634" t="s"/>
      <c r="B6" s="635" t="s">
        <v>1240</v>
      </c>
      <c r="D6" s="2" t="inlineStr">
        <is>
          <t>☑</t>
        </is>
      </c>
      <c r="F6" s="2" t="inlineStr">
        <is>
          <t>☑</t>
        </is>
      </c>
      <c r="G6" s="2" t="inlineStr">
        <is>
          <t>☑</t>
        </is>
      </c>
      <c r="H6" s="645" t="s">
        <v>1018</v>
      </c>
      <c r="I6" s="2" t="inlineStr">
        <is>
          <t>☑</t>
        </is>
      </c>
      <c r="J6" s="2" t="inlineStr">
        <is>
          <t>☑</t>
        </is>
      </c>
      <c r="K6" s="642" t="s">
        <v>277</v>
      </c>
    </row>
    <row r="7" spans="1:11">
      <c r="A7" s="634" t="s"/>
      <c r="B7" s="635" t="s">
        <v>1241</v>
      </c>
      <c r="C7" s="645" t="s">
        <v>1242</v>
      </c>
      <c r="D7" s="2" t="inlineStr">
        <is>
          <t>☑</t>
        </is>
      </c>
      <c r="F7" s="2" t="inlineStr">
        <is>
          <t>☑</t>
        </is>
      </c>
      <c r="G7" s="2" t="inlineStr">
        <is>
          <t>☑</t>
        </is>
      </c>
      <c r="H7" s="645">
        <v>3</v>
      </c>
      <c r="I7" s="2" t="inlineStr">
        <is>
          <t>☑</t>
        </is>
      </c>
      <c r="J7" s="2" t="inlineStr">
        <is>
          <t>☑</t>
        </is>
      </c>
      <c r="K7" s="642" t="s">
        <v>134</v>
      </c>
    </row>
    <row r="8" spans="1:11">
      <c r="A8" s="649" t="s"/>
      <c r="B8" s="650" t="s">
        <v>1243</v>
      </c>
      <c r="D8" s="2" t="inlineStr">
        <is>
          <t>☑</t>
        </is>
      </c>
      <c r="F8" s="2" t="inlineStr">
        <is>
          <t>☑</t>
        </is>
      </c>
      <c r="G8" s="2" t="inlineStr">
        <is>
          <t>☑</t>
        </is>
      </c>
      <c r="H8" s="645" t="s">
        <v>995</v>
      </c>
      <c r="I8" s="2" t="inlineStr">
        <is>
          <t>☑</t>
        </is>
      </c>
      <c r="J8" s="2" t="inlineStr">
        <is>
          <t>☑</t>
        </is>
      </c>
      <c r="K8" s="642" t="s">
        <v>112</v>
      </c>
    </row>
    <row r="9" spans="1:11">
      <c r="A9" s="649" t="s"/>
      <c r="B9" s="650" t="s">
        <v>1244</v>
      </c>
      <c r="D9" s="2" t="inlineStr">
        <is>
          <t>☑</t>
        </is>
      </c>
      <c r="F9" s="2" t="inlineStr">
        <is>
          <t>☑</t>
        </is>
      </c>
      <c r="G9" s="2" t="inlineStr">
        <is>
          <t>☑</t>
        </is>
      </c>
      <c r="H9" s="645">
        <v>4</v>
      </c>
      <c r="I9" s="2" t="inlineStr">
        <is>
          <t>☑</t>
        </is>
      </c>
      <c r="J9" s="2" t="inlineStr">
        <is>
          <t>☑</t>
        </is>
      </c>
      <c r="K9" s="642" t="s">
        <v>277</v>
      </c>
    </row>
    <row r="10" spans="1:11">
      <c r="A10" s="649" t="s"/>
      <c r="B10" s="650" t="s">
        <v>1245</v>
      </c>
      <c r="D10" s="2" t="inlineStr">
        <is>
          <t>☑</t>
        </is>
      </c>
      <c r="F10" s="2" t="inlineStr">
        <is>
          <t>☑</t>
        </is>
      </c>
      <c r="G10" s="2" t="inlineStr">
        <is>
          <t>☑</t>
        </is>
      </c>
      <c r="H10" s="645" t="s">
        <v>1238</v>
      </c>
      <c r="I10" s="2" t="inlineStr">
        <is>
          <t>☑</t>
        </is>
      </c>
      <c r="J10" s="2" t="inlineStr">
        <is>
          <t>☑</t>
        </is>
      </c>
      <c r="K10" s="642" t="s">
        <v>277</v>
      </c>
    </row>
    <row r="11" spans="1:11">
      <c r="A11" s="649" t="s"/>
      <c r="B11" s="650" t="s">
        <v>1246</v>
      </c>
      <c r="D11" s="2" t="inlineStr">
        <is>
          <t>☑</t>
        </is>
      </c>
      <c r="F11" s="2" t="inlineStr">
        <is>
          <t>☑</t>
        </is>
      </c>
      <c r="G11" s="2" t="inlineStr">
        <is>
          <t>☑</t>
        </is>
      </c>
      <c r="H11" s="645" t="s">
        <v>1013</v>
      </c>
      <c r="I11" s="2" t="inlineStr">
        <is>
          <t>☑</t>
        </is>
      </c>
      <c r="J11" s="2" t="inlineStr">
        <is>
          <t>☑</t>
        </is>
      </c>
      <c r="K11" s="642" t="s">
        <v>277</v>
      </c>
    </row>
    <row r="12" spans="1:11">
      <c r="A12" s="649" t="s"/>
      <c r="B12" s="650" t="s">
        <v>1247</v>
      </c>
      <c r="D12" s="2" t="inlineStr">
        <is>
          <t>☑</t>
        </is>
      </c>
      <c r="F12" s="2" t="inlineStr">
        <is>
          <t>☑</t>
        </is>
      </c>
      <c r="G12" s="2" t="inlineStr">
        <is>
          <t>☑</t>
        </is>
      </c>
      <c r="H12" s="645" t="s">
        <v>1013</v>
      </c>
      <c r="I12" s="2" t="inlineStr">
        <is>
          <t>☑</t>
        </is>
      </c>
      <c r="J12" s="2" t="inlineStr">
        <is>
          <t>☑</t>
        </is>
      </c>
      <c r="K12" s="642" t="s">
        <v>277</v>
      </c>
    </row>
    <row r="13" spans="1:11">
      <c r="A13" s="634" t="s"/>
      <c r="B13" s="635" t="s">
        <v>1248</v>
      </c>
      <c r="C13" s="645" t="s">
        <v>1249</v>
      </c>
      <c r="D13" s="2" t="inlineStr">
        <is>
          <t>☑</t>
        </is>
      </c>
      <c r="F13" s="2" t="inlineStr">
        <is>
          <t>☑</t>
        </is>
      </c>
      <c r="G13" s="2" t="inlineStr">
        <is>
          <t>☑</t>
        </is>
      </c>
      <c r="H13" s="645" t="s">
        <v>995</v>
      </c>
      <c r="I13" s="2" t="inlineStr">
        <is>
          <t>☑</t>
        </is>
      </c>
      <c r="J13" s="2" t="inlineStr">
        <is>
          <t>☑</t>
        </is>
      </c>
      <c r="K13" s="642" t="s">
        <v>201</v>
      </c>
    </row>
    <row r="14" spans="1:11">
      <c r="A14" s="634" t="s"/>
      <c r="B14" s="635" t="s">
        <v>1250</v>
      </c>
      <c r="C14" s="654" t="s">
        <v>1249</v>
      </c>
      <c r="D14" s="2" t="inlineStr">
        <is>
          <t>☑</t>
        </is>
      </c>
      <c r="F14" s="2" t="inlineStr">
        <is>
          <t>☑</t>
        </is>
      </c>
      <c r="G14" s="2" t="inlineStr">
        <is>
          <t>☑</t>
        </is>
      </c>
      <c r="H14" s="645" t="s">
        <v>995</v>
      </c>
      <c r="I14" s="2" t="inlineStr">
        <is>
          <t>☑</t>
        </is>
      </c>
      <c r="J14" s="2" t="inlineStr">
        <is>
          <t>☑</t>
        </is>
      </c>
      <c r="K14" s="642" t="s">
        <v>201</v>
      </c>
    </row>
    <row r="15" spans="1:11">
      <c r="A15" s="634" t="s"/>
      <c r="B15" s="635" t="s">
        <v>1251</v>
      </c>
      <c r="C15" s="654" t="s">
        <v>1249</v>
      </c>
      <c r="D15" s="2" t="inlineStr">
        <is>
          <t>☑</t>
        </is>
      </c>
      <c r="F15" s="2" t="inlineStr">
        <is>
          <t>☑</t>
        </is>
      </c>
      <c r="G15" s="2" t="inlineStr">
        <is>
          <t>☑</t>
        </is>
      </c>
      <c r="H15" s="645" t="s">
        <v>995</v>
      </c>
      <c r="I15" s="2" t="inlineStr">
        <is>
          <t>☑</t>
        </is>
      </c>
      <c r="J15" s="2" t="inlineStr">
        <is>
          <t>☑</t>
        </is>
      </c>
      <c r="K15" s="642" t="s">
        <v>201</v>
      </c>
    </row>
    <row r="16" spans="1:11">
      <c r="A16" s="634" t="s"/>
      <c r="B16" s="635" t="s">
        <v>1252</v>
      </c>
      <c r="C16" s="654" t="s">
        <v>1249</v>
      </c>
      <c r="D16" s="2" t="inlineStr">
        <is>
          <t>☑</t>
        </is>
      </c>
      <c r="F16" s="2" t="inlineStr">
        <is>
          <t>☑</t>
        </is>
      </c>
      <c r="G16" s="2" t="inlineStr">
        <is>
          <t>☑</t>
        </is>
      </c>
      <c r="H16" s="645" t="s">
        <v>995</v>
      </c>
      <c r="I16" s="2" t="inlineStr">
        <is>
          <t>☑</t>
        </is>
      </c>
      <c r="J16" s="2" t="inlineStr">
        <is>
          <t>☑</t>
        </is>
      </c>
      <c r="K16" s="642" t="s">
        <v>201</v>
      </c>
    </row>
    <row r="17" spans="1:11">
      <c r="A17" s="634" t="s"/>
      <c r="B17" s="635" t="s">
        <v>1253</v>
      </c>
      <c r="D17" s="2" t="inlineStr">
        <is>
          <t>☑</t>
        </is>
      </c>
      <c r="F17" s="2" t="inlineStr">
        <is>
          <t>☑</t>
        </is>
      </c>
      <c r="G17" s="2" t="inlineStr">
        <is>
          <t>☑</t>
        </is>
      </c>
      <c r="H17" s="655" t="s">
        <v>1238</v>
      </c>
      <c r="I17" s="2" t="inlineStr">
        <is>
          <t>☑</t>
        </is>
      </c>
      <c r="J17" s="2" t="inlineStr">
        <is>
          <t>☑</t>
        </is>
      </c>
      <c r="K17" s="642" t="s">
        <v>54</v>
      </c>
    </row>
    <row r="18" spans="1:11">
      <c r="A18" s="634" t="s"/>
      <c r="B18" s="635" t="s">
        <v>1254</v>
      </c>
      <c r="D18" s="2" t="inlineStr">
        <is>
          <t>☑</t>
        </is>
      </c>
      <c r="F18" s="2" t="inlineStr">
        <is>
          <t>☑</t>
        </is>
      </c>
      <c r="G18" s="2" t="inlineStr">
        <is>
          <t>☑</t>
        </is>
      </c>
      <c r="H18" s="655">
        <v>3</v>
      </c>
      <c r="I18" s="2" t="inlineStr">
        <is>
          <t>☑</t>
        </is>
      </c>
      <c r="J18" s="2" t="inlineStr">
        <is>
          <t>☑</t>
        </is>
      </c>
      <c r="K18" s="642" t="s">
        <v>48</v>
      </c>
    </row>
    <row r="19" spans="1:11">
      <c r="A19" s="634" t="s"/>
      <c r="B19" s="635" t="s">
        <v>1255</v>
      </c>
      <c r="D19" s="2" t="inlineStr">
        <is>
          <t>☑</t>
        </is>
      </c>
      <c r="F19" s="2" t="inlineStr">
        <is>
          <t>☑</t>
        </is>
      </c>
      <c r="G19" s="2" t="inlineStr">
        <is>
          <t>☑</t>
        </is>
      </c>
      <c r="H19" s="655">
        <v>3</v>
      </c>
      <c r="I19" s="2" t="inlineStr">
        <is>
          <t>☑</t>
        </is>
      </c>
      <c r="J19" s="2" t="inlineStr">
        <is>
          <t>☑</t>
        </is>
      </c>
      <c r="K19" s="642" t="s">
        <v>48</v>
      </c>
    </row>
    <row r="20" spans="1:11">
      <c r="A20" s="634" t="s"/>
      <c r="B20" s="635" t="s">
        <v>1256</v>
      </c>
      <c r="D20" s="2" t="inlineStr">
        <is>
          <t>☑</t>
        </is>
      </c>
      <c r="F20" s="2" t="inlineStr">
        <is>
          <t>☑</t>
        </is>
      </c>
      <c r="G20" s="2" t="inlineStr">
        <is>
          <t>☑</t>
        </is>
      </c>
      <c r="H20" s="655" t="s">
        <v>1238</v>
      </c>
      <c r="I20" s="2" t="inlineStr">
        <is>
          <t>☑</t>
        </is>
      </c>
      <c r="J20" s="2" t="inlineStr">
        <is>
          <t>☑</t>
        </is>
      </c>
      <c r="K20" s="642" t="s">
        <v>48</v>
      </c>
    </row>
    <row r="21" spans="1:11">
      <c r="A21" s="634" t="s"/>
      <c r="B21" s="635" t="s">
        <v>1257</v>
      </c>
      <c r="D21" s="2" t="inlineStr">
        <is>
          <t>☑</t>
        </is>
      </c>
      <c r="F21" s="2" t="inlineStr">
        <is>
          <t>☑</t>
        </is>
      </c>
      <c r="G21" s="2" t="inlineStr">
        <is>
          <t>☑</t>
        </is>
      </c>
      <c r="H21" s="655" t="s">
        <v>1238</v>
      </c>
      <c r="I21" s="2" t="inlineStr">
        <is>
          <t>☑</t>
        </is>
      </c>
      <c r="J21" s="2" t="inlineStr">
        <is>
          <t>☑</t>
        </is>
      </c>
      <c r="K21" s="642" t="s">
        <v>134</v>
      </c>
    </row>
    <row r="22" spans="1:11">
      <c r="A22" s="634" t="s"/>
      <c r="B22" s="635" t="s">
        <v>1258</v>
      </c>
      <c r="C22" s="645" t="s">
        <v>1259</v>
      </c>
      <c r="D22" s="2" t="inlineStr">
        <is>
          <t>☑</t>
        </is>
      </c>
      <c r="F22" s="2" t="inlineStr">
        <is>
          <t>☑</t>
        </is>
      </c>
      <c r="G22" s="2" t="inlineStr">
        <is>
          <t>☑</t>
        </is>
      </c>
      <c r="H22" s="658">
        <v>4</v>
      </c>
      <c r="I22" s="2" t="inlineStr">
        <is>
          <t>☑</t>
        </is>
      </c>
      <c r="J22" s="2" t="inlineStr">
        <is>
          <t>☑</t>
        </is>
      </c>
      <c r="K22" s="642" t="s">
        <v>134</v>
      </c>
    </row>
    <row r="23" spans="1:11">
      <c r="A23" s="634" t="s"/>
      <c r="B23" s="635" t="s">
        <v>1260</v>
      </c>
      <c r="C23" s="639" t="s">
        <v>1261</v>
      </c>
      <c r="D23" s="2" t="inlineStr">
        <is>
          <t>☑</t>
        </is>
      </c>
      <c r="F23" s="2" t="inlineStr">
        <is>
          <t>☑</t>
        </is>
      </c>
      <c r="G23" s="2" t="inlineStr">
        <is>
          <t>☑</t>
        </is>
      </c>
      <c r="H23" s="655" t="s">
        <v>1262</v>
      </c>
      <c r="I23" s="2" t="inlineStr">
        <is>
          <t>☑</t>
        </is>
      </c>
      <c r="J23" s="2" t="inlineStr">
        <is>
          <t>☑</t>
        </is>
      </c>
      <c r="K23" s="642" t="s">
        <v>134</v>
      </c>
    </row>
    <row r="24" spans="1:11">
      <c r="A24" s="634" t="s"/>
      <c r="B24" s="635" t="s">
        <v>1263</v>
      </c>
      <c r="C24" s="639" t="s">
        <v>1264</v>
      </c>
      <c r="D24" s="2" t="inlineStr">
        <is>
          <t>☑</t>
        </is>
      </c>
      <c r="F24" s="2" t="inlineStr">
        <is>
          <t>☑</t>
        </is>
      </c>
      <c r="G24" s="2" t="inlineStr">
        <is>
          <t>☑</t>
        </is>
      </c>
      <c r="H24" s="658" t="s">
        <v>1238</v>
      </c>
      <c r="I24" s="2" t="inlineStr">
        <is>
          <t>☑</t>
        </is>
      </c>
      <c r="J24" s="2" t="inlineStr">
        <is>
          <t>☑</t>
        </is>
      </c>
      <c r="K24" s="642" t="s">
        <v>134</v>
      </c>
    </row>
    <row r="25" spans="1:11">
      <c r="A25" s="634" t="s"/>
      <c r="B25" s="635" t="s">
        <v>1265</v>
      </c>
      <c r="C25" s="639" t="s">
        <v>1266</v>
      </c>
      <c r="D25" s="2" t="inlineStr">
        <is>
          <t>☑</t>
        </is>
      </c>
      <c r="F25" s="2" t="inlineStr">
        <is>
          <t>☑</t>
        </is>
      </c>
      <c r="G25" s="2" t="inlineStr">
        <is>
          <t>☑</t>
        </is>
      </c>
      <c r="H25" s="658" t="s">
        <v>1018</v>
      </c>
      <c r="I25" s="2" t="inlineStr">
        <is>
          <t>☑</t>
        </is>
      </c>
      <c r="J25" s="2" t="inlineStr">
        <is>
          <t>☑</t>
        </is>
      </c>
      <c r="K25" s="642" t="s">
        <v>134</v>
      </c>
    </row>
    <row r="26" spans="1:11">
      <c r="A26" s="634" t="s"/>
      <c r="B26" s="635" t="s">
        <v>1267</v>
      </c>
      <c r="D26" s="2" t="inlineStr">
        <is>
          <t>☑</t>
        </is>
      </c>
      <c r="E26" s="645" t="s"/>
      <c r="F26" s="2" t="inlineStr">
        <is>
          <t>☑</t>
        </is>
      </c>
      <c r="G26" s="2" t="inlineStr">
        <is>
          <t>☑</t>
        </is>
      </c>
      <c r="H26" s="645" t="s">
        <v>1041</v>
      </c>
      <c r="I26" s="2" t="inlineStr">
        <is>
          <t>☑</t>
        </is>
      </c>
      <c r="J26" s="2" t="inlineStr">
        <is>
          <t>☑</t>
        </is>
      </c>
      <c r="K26" s="642" t="s">
        <v>277</v>
      </c>
    </row>
    <row r="27" spans="1:11">
      <c r="A27" s="634" t="s"/>
      <c r="B27" s="635" t="s">
        <v>1268</v>
      </c>
      <c r="D27" s="2" t="inlineStr">
        <is>
          <t>☑</t>
        </is>
      </c>
      <c r="F27" s="2" t="inlineStr">
        <is>
          <t>☑</t>
        </is>
      </c>
      <c r="G27" s="2" t="inlineStr">
        <is>
          <t>☑</t>
        </is>
      </c>
      <c r="H27" s="655">
        <v>4</v>
      </c>
      <c r="I27" s="2" t="inlineStr">
        <is>
          <t>☑</t>
        </is>
      </c>
      <c r="J27" s="2" t="inlineStr">
        <is>
          <t>☑</t>
        </is>
      </c>
      <c r="K27" s="642" t="s">
        <v>277</v>
      </c>
    </row>
    <row r="28" spans="1:11">
      <c r="A28" s="634" t="s"/>
      <c r="B28" s="635" t="s">
        <v>1269</v>
      </c>
      <c r="C28" s="655" t="s">
        <v>1270</v>
      </c>
      <c r="D28" s="2" t="inlineStr">
        <is>
          <t>☑</t>
        </is>
      </c>
      <c r="F28" s="2" t="inlineStr">
        <is>
          <t>☑</t>
        </is>
      </c>
      <c r="G28" s="2" t="inlineStr">
        <is>
          <t>☑</t>
        </is>
      </c>
      <c r="H28" s="655" t="s">
        <v>1271</v>
      </c>
      <c r="I28" s="2" t="inlineStr">
        <is>
          <t>☑</t>
        </is>
      </c>
      <c r="J28" s="2" t="inlineStr">
        <is>
          <t>☑</t>
        </is>
      </c>
      <c r="K28" s="642" t="s">
        <v>134</v>
      </c>
    </row>
    <row r="29" spans="1:11">
      <c r="A29" s="634" t="s"/>
      <c r="B29" s="635" t="s">
        <v>1272</v>
      </c>
      <c r="D29" s="2" t="inlineStr">
        <is>
          <t>☑</t>
        </is>
      </c>
      <c r="F29" s="2" t="inlineStr">
        <is>
          <t>☑</t>
        </is>
      </c>
      <c r="G29" s="2" t="inlineStr">
        <is>
          <t>☑</t>
        </is>
      </c>
      <c r="H29" s="655" t="s">
        <v>1238</v>
      </c>
      <c r="I29" s="2" t="inlineStr">
        <is>
          <t>☑</t>
        </is>
      </c>
      <c r="J29" s="2" t="inlineStr">
        <is>
          <t>☑</t>
        </is>
      </c>
      <c r="K29" s="642" t="s">
        <v>54</v>
      </c>
    </row>
    <row r="30" spans="1:11">
      <c r="A30" s="634" t="s"/>
      <c r="B30" s="635" t="s">
        <v>1273</v>
      </c>
      <c r="D30" s="2" t="inlineStr">
        <is>
          <t>☑</t>
        </is>
      </c>
      <c r="F30" s="2" t="inlineStr">
        <is>
          <t>☑</t>
        </is>
      </c>
      <c r="G30" s="2" t="inlineStr">
        <is>
          <t>☑</t>
        </is>
      </c>
      <c r="H30" s="655">
        <v>3</v>
      </c>
      <c r="I30" s="2" t="inlineStr">
        <is>
          <t>☑</t>
        </is>
      </c>
      <c r="J30" s="2" t="inlineStr">
        <is>
          <t>☑</t>
        </is>
      </c>
      <c r="K30" s="642" t="s">
        <v>277</v>
      </c>
    </row>
    <row r="31" spans="1:11">
      <c r="A31" s="634" t="s"/>
      <c r="B31" s="635" t="s">
        <v>1274</v>
      </c>
      <c r="D31" s="2" t="inlineStr">
        <is>
          <t>☑</t>
        </is>
      </c>
      <c r="F31" s="2" t="inlineStr">
        <is>
          <t>☑</t>
        </is>
      </c>
      <c r="G31" s="2" t="inlineStr">
        <is>
          <t>☑</t>
        </is>
      </c>
      <c r="H31" s="655">
        <v>3</v>
      </c>
      <c r="I31" s="2" t="inlineStr">
        <is>
          <t>☑</t>
        </is>
      </c>
      <c r="J31" s="2" t="inlineStr">
        <is>
          <t>☑</t>
        </is>
      </c>
      <c r="K31" s="642" t="s">
        <v>54</v>
      </c>
    </row>
    <row r="32" spans="1:11">
      <c r="A32" s="634" t="s"/>
      <c r="B32" s="635" t="s">
        <v>1275</v>
      </c>
      <c r="D32" s="2" t="inlineStr">
        <is>
          <t>☑</t>
        </is>
      </c>
      <c r="F32" s="2" t="inlineStr">
        <is>
          <t>☑</t>
        </is>
      </c>
      <c r="G32" s="2" t="inlineStr">
        <is>
          <t>☑</t>
        </is>
      </c>
      <c r="H32" s="645">
        <v>2</v>
      </c>
      <c r="I32" s="2" t="inlineStr">
        <is>
          <t>☑</t>
        </is>
      </c>
      <c r="J32" s="2" t="inlineStr">
        <is>
          <t>☑</t>
        </is>
      </c>
      <c r="K32" s="642" t="s">
        <v>1276</v>
      </c>
    </row>
    <row r="33" spans="1:11">
      <c r="A33" s="634" t="s"/>
      <c r="B33" s="635" t="s">
        <v>1277</v>
      </c>
      <c r="D33" s="2" t="inlineStr">
        <is>
          <t>☑</t>
        </is>
      </c>
      <c r="F33" s="2" t="inlineStr">
        <is>
          <t>☑</t>
        </is>
      </c>
      <c r="G33" s="2" t="inlineStr">
        <is>
          <t>☑</t>
        </is>
      </c>
      <c r="H33" s="645" t="s">
        <v>1018</v>
      </c>
      <c r="I33" s="2" t="inlineStr">
        <is>
          <t>☑</t>
        </is>
      </c>
      <c r="J33" s="2" t="inlineStr">
        <is>
          <t>☑</t>
        </is>
      </c>
      <c r="K33" s="642" t="s">
        <v>48</v>
      </c>
    </row>
    <row r="34" spans="1:11">
      <c r="A34" s="634" t="s"/>
      <c r="B34" s="635" t="s">
        <v>1278</v>
      </c>
      <c r="C34" s="639" t="s">
        <v>1279</v>
      </c>
      <c r="D34" s="2" t="inlineStr">
        <is>
          <t>☑</t>
        </is>
      </c>
      <c r="E34" s="645" t="s">
        <v>1238</v>
      </c>
      <c r="F34" s="2" t="inlineStr">
        <is>
          <t>☑</t>
        </is>
      </c>
      <c r="G34" s="2" t="inlineStr">
        <is>
          <t>☑</t>
        </is>
      </c>
      <c r="H34" s="645" t="s">
        <v>1238</v>
      </c>
      <c r="I34" s="2" t="inlineStr">
        <is>
          <t>☑</t>
        </is>
      </c>
      <c r="J34" s="2" t="inlineStr">
        <is>
          <t>☑</t>
        </is>
      </c>
      <c r="K34" s="642" t="s">
        <v>48</v>
      </c>
    </row>
    <row r="35" spans="1:11">
      <c r="A35" s="634" t="s"/>
      <c r="B35" s="635" t="s">
        <v>1280</v>
      </c>
      <c r="C35" s="639" t="s">
        <v>1281</v>
      </c>
      <c r="D35" s="2" t="inlineStr">
        <is>
          <t>☑</t>
        </is>
      </c>
      <c r="E35" s="645">
        <v>2</v>
      </c>
      <c r="F35" s="2" t="inlineStr">
        <is>
          <t>☑</t>
        </is>
      </c>
      <c r="G35" s="2" t="inlineStr">
        <is>
          <t>☑</t>
        </is>
      </c>
      <c r="H35" s="645">
        <v>2</v>
      </c>
      <c r="I35" s="2" t="inlineStr">
        <is>
          <t>☑</t>
        </is>
      </c>
      <c r="J35" s="2" t="inlineStr">
        <is>
          <t>☑</t>
        </is>
      </c>
      <c r="K35" s="642" t="s">
        <v>48</v>
      </c>
    </row>
    <row r="36" spans="1:11">
      <c r="A36" s="634" t="s"/>
      <c r="B36" s="635" t="s">
        <v>1282</v>
      </c>
      <c r="C36" s="639" t="s">
        <v>1120</v>
      </c>
      <c r="D36" s="2" t="inlineStr">
        <is>
          <t>☑</t>
        </is>
      </c>
      <c r="E36" s="658" t="s">
        <v>1271</v>
      </c>
      <c r="F36" s="2" t="inlineStr">
        <is>
          <t>☐</t>
        </is>
      </c>
      <c r="G36" s="2" t="inlineStr">
        <is>
          <t>☐</t>
        </is>
      </c>
      <c r="I36" s="2" t="inlineStr">
        <is>
          <t>☐</t>
        </is>
      </c>
      <c r="J36" s="2" t="inlineStr">
        <is>
          <t>☐</t>
        </is>
      </c>
      <c r="K36" s="642" t="s">
        <v>48</v>
      </c>
    </row>
    <row r="37" spans="1:11">
      <c r="A37" s="634" t="s"/>
      <c r="B37" s="635" t="s">
        <v>1283</v>
      </c>
      <c r="C37" s="639" t="s"/>
      <c r="D37" s="2" t="inlineStr">
        <is>
          <t>☑</t>
        </is>
      </c>
      <c r="E37" s="639" t="s"/>
      <c r="F37" s="2" t="inlineStr">
        <is>
          <t>☑</t>
        </is>
      </c>
      <c r="G37" s="2" t="inlineStr">
        <is>
          <t>☑</t>
        </is>
      </c>
      <c r="H37" s="661">
        <v>2</v>
      </c>
      <c r="I37" s="2" t="inlineStr">
        <is>
          <t>☑</t>
        </is>
      </c>
      <c r="J37" s="2" t="inlineStr">
        <is>
          <t>☑</t>
        </is>
      </c>
      <c r="K37" s="642" t="s">
        <v>54</v>
      </c>
    </row>
    <row r="38" spans="1:11">
      <c r="A38" s="634" t="s"/>
      <c r="B38" s="635" t="s">
        <v>1284</v>
      </c>
      <c r="D38" s="2" t="inlineStr">
        <is>
          <t>☑</t>
        </is>
      </c>
      <c r="F38" s="2" t="inlineStr">
        <is>
          <t>☑</t>
        </is>
      </c>
      <c r="G38" s="2" t="inlineStr">
        <is>
          <t>☑</t>
        </is>
      </c>
      <c r="H38" s="645" t="s">
        <v>1271</v>
      </c>
      <c r="I38" s="2" t="inlineStr">
        <is>
          <t>☑</t>
        </is>
      </c>
      <c r="J38" s="2" t="inlineStr">
        <is>
          <t>☑</t>
        </is>
      </c>
      <c r="K38" s="642" t="s">
        <v>134</v>
      </c>
    </row>
    <row r="39" spans="1:11">
      <c r="A39" s="634" t="s"/>
      <c r="B39" s="635" t="s">
        <v>1285</v>
      </c>
      <c r="D39" s="2" t="inlineStr">
        <is>
          <t>☑</t>
        </is>
      </c>
      <c r="F39" s="2" t="inlineStr">
        <is>
          <t>☑</t>
        </is>
      </c>
      <c r="G39" s="2" t="inlineStr">
        <is>
          <t>☑</t>
        </is>
      </c>
      <c r="H39" s="645" t="s">
        <v>1018</v>
      </c>
      <c r="I39" s="2" t="inlineStr">
        <is>
          <t>☑</t>
        </is>
      </c>
      <c r="J39" s="2" t="inlineStr">
        <is>
          <t>☑</t>
        </is>
      </c>
      <c r="K39" s="642" t="s">
        <v>134</v>
      </c>
    </row>
    <row r="40" spans="1:11">
      <c r="A40" s="634" t="s"/>
      <c r="B40" s="635" t="s">
        <v>1286</v>
      </c>
      <c r="D40" s="2" t="inlineStr">
        <is>
          <t>☑</t>
        </is>
      </c>
      <c r="F40" s="2" t="inlineStr">
        <is>
          <t>☑</t>
        </is>
      </c>
      <c r="G40" s="2" t="inlineStr">
        <is>
          <t>☑</t>
        </is>
      </c>
      <c r="H40" s="645">
        <v>3</v>
      </c>
      <c r="I40" s="2" t="inlineStr">
        <is>
          <t>☑</t>
        </is>
      </c>
      <c r="J40" s="2" t="inlineStr">
        <is>
          <t>☑</t>
        </is>
      </c>
      <c r="K40" s="642" t="s">
        <v>134</v>
      </c>
    </row>
    <row r="41" spans="1:11">
      <c r="A41" s="634" t="s"/>
      <c r="B41" s="635" t="s">
        <v>1287</v>
      </c>
      <c r="D41" s="2" t="inlineStr">
        <is>
          <t>☑</t>
        </is>
      </c>
      <c r="F41" s="2" t="inlineStr">
        <is>
          <t>☑</t>
        </is>
      </c>
      <c r="G41" s="2" t="inlineStr">
        <is>
          <t>☑</t>
        </is>
      </c>
      <c r="H41" s="654">
        <v>3</v>
      </c>
      <c r="I41" s="2" t="inlineStr">
        <is>
          <t>☑</t>
        </is>
      </c>
      <c r="J41" s="2" t="inlineStr">
        <is>
          <t>☑</t>
        </is>
      </c>
      <c r="K41" s="642" t="s">
        <v>134</v>
      </c>
    </row>
    <row r="42" spans="1:11">
      <c r="A42" s="634" t="s"/>
      <c r="B42" s="635" t="s">
        <v>1288</v>
      </c>
      <c r="D42" s="2" t="inlineStr">
        <is>
          <t>☑</t>
        </is>
      </c>
      <c r="F42" s="2" t="inlineStr">
        <is>
          <t>☑</t>
        </is>
      </c>
      <c r="G42" s="2" t="inlineStr">
        <is>
          <t>☑</t>
        </is>
      </c>
      <c r="H42" s="645" t="s">
        <v>995</v>
      </c>
      <c r="I42" s="2" t="inlineStr">
        <is>
          <t>☑</t>
        </is>
      </c>
      <c r="J42" s="2" t="inlineStr">
        <is>
          <t>☑</t>
        </is>
      </c>
      <c r="K42" s="642" t="s">
        <v>134</v>
      </c>
    </row>
    <row r="43" spans="1:11">
      <c r="A43" s="634" t="s"/>
      <c r="B43" s="635" t="s">
        <v>1289</v>
      </c>
      <c r="D43" s="2" t="inlineStr">
        <is>
          <t>☑</t>
        </is>
      </c>
      <c r="F43" s="2" t="inlineStr">
        <is>
          <t>☑</t>
        </is>
      </c>
      <c r="G43" s="2" t="inlineStr">
        <is>
          <t>☑</t>
        </is>
      </c>
      <c r="H43" s="645">
        <v>2</v>
      </c>
      <c r="I43" s="2" t="inlineStr">
        <is>
          <t>☑</t>
        </is>
      </c>
      <c r="J43" s="2" t="inlineStr">
        <is>
          <t>☑</t>
        </is>
      </c>
      <c r="K43" s="642" t="s">
        <v>134</v>
      </c>
    </row>
    <row r="44" spans="1:11">
      <c r="A44" s="634" t="s"/>
      <c r="B44" s="635" t="s">
        <v>1290</v>
      </c>
      <c r="D44" s="2" t="inlineStr">
        <is>
          <t>☑</t>
        </is>
      </c>
      <c r="F44" s="2" t="inlineStr">
        <is>
          <t>☑</t>
        </is>
      </c>
      <c r="G44" s="2" t="inlineStr">
        <is>
          <t>☑</t>
        </is>
      </c>
      <c r="H44" s="639">
        <v>2</v>
      </c>
      <c r="I44" s="2" t="inlineStr">
        <is>
          <t>☑</t>
        </is>
      </c>
      <c r="J44" s="2" t="inlineStr">
        <is>
          <t>☑</t>
        </is>
      </c>
      <c r="K44" s="642" t="s">
        <v>134</v>
      </c>
    </row>
    <row r="45" spans="1:11">
      <c r="A45" s="634" t="s"/>
      <c r="B45" s="635" t="s">
        <v>1291</v>
      </c>
      <c r="D45" s="2" t="inlineStr">
        <is>
          <t>☑</t>
        </is>
      </c>
      <c r="F45" s="2" t="inlineStr">
        <is>
          <t>☑</t>
        </is>
      </c>
      <c r="G45" s="2" t="inlineStr">
        <is>
          <t>☑</t>
        </is>
      </c>
      <c r="H45" s="645" t="s">
        <v>995</v>
      </c>
      <c r="I45" s="2" t="inlineStr">
        <is>
          <t>☑</t>
        </is>
      </c>
      <c r="J45" s="2" t="inlineStr">
        <is>
          <t>☑</t>
        </is>
      </c>
      <c r="K45" s="642" t="s">
        <v>134</v>
      </c>
    </row>
    <row r="46" spans="1:11">
      <c r="A46" s="634" t="s"/>
      <c r="B46" s="635" t="s">
        <v>1292</v>
      </c>
      <c r="D46" s="2" t="inlineStr">
        <is>
          <t>☑</t>
        </is>
      </c>
      <c r="F46" s="2" t="inlineStr">
        <is>
          <t>☑</t>
        </is>
      </c>
      <c r="G46" s="2" t="inlineStr">
        <is>
          <t>☑</t>
        </is>
      </c>
      <c r="H46" s="645" t="s">
        <v>1271</v>
      </c>
      <c r="I46" s="2" t="inlineStr">
        <is>
          <t>☑</t>
        </is>
      </c>
      <c r="J46" s="2" t="inlineStr">
        <is>
          <t>☑</t>
        </is>
      </c>
      <c r="K46" s="642" t="s">
        <v>134</v>
      </c>
    </row>
    <row r="47" spans="1:11">
      <c r="A47" s="634" t="s"/>
      <c r="B47" s="635" t="s">
        <v>1293</v>
      </c>
      <c r="D47" s="2" t="inlineStr">
        <is>
          <t>☑</t>
        </is>
      </c>
      <c r="F47" s="2" t="inlineStr">
        <is>
          <t>☑</t>
        </is>
      </c>
      <c r="G47" s="2" t="inlineStr">
        <is>
          <t>☑</t>
        </is>
      </c>
      <c r="H47" s="645">
        <v>3</v>
      </c>
      <c r="I47" s="2" t="inlineStr">
        <is>
          <t>☑</t>
        </is>
      </c>
      <c r="J47" s="2" t="inlineStr">
        <is>
          <t>☑</t>
        </is>
      </c>
      <c r="K47" s="642" t="s">
        <v>134</v>
      </c>
    </row>
    <row r="48" spans="1:11">
      <c r="A48" s="634" t="s"/>
      <c r="B48" s="635" t="s">
        <v>1294</v>
      </c>
      <c r="D48" s="2" t="inlineStr">
        <is>
          <t>☑</t>
        </is>
      </c>
      <c r="F48" s="2" t="inlineStr">
        <is>
          <t>☑</t>
        </is>
      </c>
      <c r="G48" s="2" t="inlineStr">
        <is>
          <t>☑</t>
        </is>
      </c>
      <c r="H48" s="645">
        <v>5</v>
      </c>
      <c r="I48" s="2" t="inlineStr">
        <is>
          <t>☑</t>
        </is>
      </c>
      <c r="J48" s="2" t="inlineStr">
        <is>
          <t>☑</t>
        </is>
      </c>
      <c r="K48" s="642" t="s">
        <v>134</v>
      </c>
    </row>
    <row r="49" spans="1:11">
      <c r="A49" s="649" t="s"/>
      <c r="B49" s="650" t="s">
        <v>1295</v>
      </c>
      <c r="C49" s="645" t="s"/>
      <c r="D49" s="2" t="inlineStr">
        <is>
          <t>☑</t>
        </is>
      </c>
      <c r="F49" s="2" t="inlineStr">
        <is>
          <t>☑</t>
        </is>
      </c>
      <c r="G49" s="2" t="inlineStr">
        <is>
          <t>☑</t>
        </is>
      </c>
      <c r="H49" s="645" t="s">
        <v>1237</v>
      </c>
      <c r="I49" s="2" t="inlineStr">
        <is>
          <t>☑</t>
        </is>
      </c>
      <c r="J49" s="2" t="inlineStr">
        <is>
          <t>☑</t>
        </is>
      </c>
      <c r="K49" s="664" t="s">
        <v>134</v>
      </c>
    </row>
    <row r="50" spans="1:11">
      <c r="A50" s="634" t="s"/>
      <c r="B50" s="635" t="s">
        <v>1296</v>
      </c>
      <c r="C50" s="639" t="s">
        <v>1297</v>
      </c>
      <c r="D50" s="2" t="inlineStr">
        <is>
          <t>☑</t>
        </is>
      </c>
      <c r="F50" s="2" t="inlineStr">
        <is>
          <t>☑</t>
        </is>
      </c>
      <c r="G50" s="2" t="inlineStr">
        <is>
          <t>☑</t>
        </is>
      </c>
      <c r="H50" s="639" t="s">
        <v>1271</v>
      </c>
      <c r="I50" s="2" t="inlineStr">
        <is>
          <t>☑</t>
        </is>
      </c>
      <c r="J50" s="2" t="inlineStr">
        <is>
          <t>☑</t>
        </is>
      </c>
      <c r="K50" s="642" t="s">
        <v>134</v>
      </c>
    </row>
    <row r="51" spans="1:12" s="684" customFormat="1">
      <c r="A51" s="665" t="s"/>
      <c r="B51" s="666" t="s">
        <v>1298</v>
      </c>
      <c r="C51" s="667" t="s">
        <v>1299</v>
      </c>
      <c r="D51" s="2" t="inlineStr">
        <is>
          <t>☑</t>
        </is>
      </c>
      <c r="E51" s="668" t="s">
        <v>1238</v>
      </c>
      <c r="F51" s="2" t="inlineStr">
        <is>
          <t>☐</t>
        </is>
      </c>
      <c r="G51" s="2" t="inlineStr">
        <is>
          <t>☐</t>
        </is>
      </c>
      <c r="H51" s="670" t="s"/>
      <c r="I51" s="2" t="inlineStr">
        <is>
          <t>☐</t>
        </is>
      </c>
      <c r="J51" s="2" t="inlineStr">
        <is>
          <t>☐</t>
        </is>
      </c>
      <c r="K51" s="671" t="s">
        <v>134</v>
      </c>
      <c r="L51" s="672" t="s">
        <v>1300</v>
      </c>
    </row>
    <row r="52" spans="1:12" s="684" customFormat="1">
      <c r="A52" s="665" t="s"/>
      <c r="B52" s="666" t="s">
        <v>1301</v>
      </c>
      <c r="C52" s="667" t="s">
        <v>1302</v>
      </c>
      <c r="D52" s="2" t="inlineStr">
        <is>
          <t>☑</t>
        </is>
      </c>
      <c r="E52" s="668">
        <v>2</v>
      </c>
      <c r="F52" s="2" t="inlineStr">
        <is>
          <t>☐</t>
        </is>
      </c>
      <c r="G52" s="2" t="inlineStr">
        <is>
          <t>☐</t>
        </is>
      </c>
      <c r="H52" s="670" t="s"/>
      <c r="I52" s="2" t="inlineStr">
        <is>
          <t>☐</t>
        </is>
      </c>
      <c r="J52" s="2" t="inlineStr">
        <is>
          <t>☐</t>
        </is>
      </c>
      <c r="K52" s="671" t="s">
        <v>134</v>
      </c>
      <c r="L52" s="672" t="s">
        <v>1300</v>
      </c>
    </row>
    <row r="53" spans="1:11">
      <c r="A53" s="634" t="s"/>
      <c r="B53" s="635" t="s">
        <v>1303</v>
      </c>
      <c r="D53" s="2" t="inlineStr">
        <is>
          <t>☑</t>
        </is>
      </c>
      <c r="F53" s="2" t="inlineStr">
        <is>
          <t>☑</t>
        </is>
      </c>
      <c r="G53" s="2" t="inlineStr">
        <is>
          <t>☑</t>
        </is>
      </c>
      <c r="H53" s="645">
        <v>3</v>
      </c>
      <c r="I53" s="2" t="inlineStr">
        <is>
          <t>☑</t>
        </is>
      </c>
      <c r="J53" s="2" t="inlineStr">
        <is>
          <t>☑</t>
        </is>
      </c>
      <c r="K53" s="642" t="s">
        <v>277</v>
      </c>
    </row>
    <row r="54" spans="1:11">
      <c r="A54" s="634" t="s"/>
      <c r="B54" s="635" t="s">
        <v>1304</v>
      </c>
      <c r="C54" s="639" t="s"/>
      <c r="D54" s="2" t="inlineStr">
        <is>
          <t>☑</t>
        </is>
      </c>
      <c r="E54" s="639" t="s"/>
      <c r="F54" s="2" t="inlineStr">
        <is>
          <t>☑</t>
        </is>
      </c>
      <c r="G54" s="2" t="inlineStr">
        <is>
          <t>☑</t>
        </is>
      </c>
      <c r="H54" s="673" t="s">
        <v>1238</v>
      </c>
      <c r="I54" s="2" t="inlineStr">
        <is>
          <t>☑</t>
        </is>
      </c>
      <c r="J54" s="2" t="inlineStr">
        <is>
          <t>☑</t>
        </is>
      </c>
      <c r="K54" s="642" t="s">
        <v>277</v>
      </c>
    </row>
    <row r="55" spans="1:11">
      <c r="A55" s="634" t="s"/>
      <c r="B55" s="635" t="s">
        <v>1305</v>
      </c>
      <c r="D55" s="2" t="inlineStr">
        <is>
          <t>☑</t>
        </is>
      </c>
      <c r="F55" s="2" t="inlineStr">
        <is>
          <t>☑</t>
        </is>
      </c>
      <c r="G55" s="2" t="inlineStr">
        <is>
          <t>☑</t>
        </is>
      </c>
      <c r="H55" s="639" t="s">
        <v>1271</v>
      </c>
      <c r="I55" s="2" t="inlineStr">
        <is>
          <t>☑</t>
        </is>
      </c>
      <c r="J55" s="2" t="inlineStr">
        <is>
          <t>☑</t>
        </is>
      </c>
      <c r="K55" s="642" t="s">
        <v>134</v>
      </c>
    </row>
    <row r="56" spans="1:11">
      <c r="A56" s="634" t="s"/>
      <c r="B56" s="635" t="s">
        <v>1306</v>
      </c>
      <c r="D56" s="2" t="inlineStr">
        <is>
          <t>☑</t>
        </is>
      </c>
      <c r="F56" s="2" t="inlineStr">
        <is>
          <t>☑</t>
        </is>
      </c>
      <c r="G56" s="2" t="inlineStr">
        <is>
          <t>☑</t>
        </is>
      </c>
      <c r="H56" s="645" t="s">
        <v>1238</v>
      </c>
      <c r="I56" s="2" t="inlineStr">
        <is>
          <t>☑</t>
        </is>
      </c>
      <c r="J56" s="2" t="inlineStr">
        <is>
          <t>☑</t>
        </is>
      </c>
      <c r="K56" s="642" t="s">
        <v>48</v>
      </c>
    </row>
    <row r="57" spans="1:11">
      <c r="A57" s="634" t="s"/>
      <c r="B57" s="635" t="s">
        <v>1307</v>
      </c>
      <c r="D57" s="2" t="inlineStr">
        <is>
          <t>☑</t>
        </is>
      </c>
      <c r="F57" s="2" t="inlineStr">
        <is>
          <t>☑</t>
        </is>
      </c>
      <c r="G57" s="2" t="inlineStr">
        <is>
          <t>☑</t>
        </is>
      </c>
      <c r="H57" s="639" t="s">
        <v>1238</v>
      </c>
      <c r="I57" s="2" t="inlineStr">
        <is>
          <t>☑</t>
        </is>
      </c>
      <c r="J57" s="2" t="inlineStr">
        <is>
          <t>☑</t>
        </is>
      </c>
      <c r="K57" s="642" t="s">
        <v>48</v>
      </c>
    </row>
    <row r="58" spans="3:12">
      <c r="C58" s="639" t="s">
        <v>1308</v>
      </c>
      <c r="D58" s="2" t="inlineStr">
        <is>
          <t>☑</t>
        </is>
      </c>
      <c r="E58" s="645" t="s">
        <v>1262</v>
      </c>
      <c r="F58" s="2" t="inlineStr">
        <is>
          <t>☐</t>
        </is>
      </c>
      <c r="G58" s="2" t="inlineStr">
        <is>
          <t>☐</t>
        </is>
      </c>
      <c r="I58" s="2" t="inlineStr">
        <is>
          <t>☐</t>
        </is>
      </c>
      <c r="J58" s="2" t="inlineStr">
        <is>
          <t>☐</t>
        </is>
      </c>
      <c r="K58" s="642" t="s">
        <v>201</v>
      </c>
      <c r="L58" t="s">
        <v>1309</v>
      </c>
    </row>
    <row r="59" spans="1:11">
      <c r="A59" s="634" t="s"/>
      <c r="B59" s="635" t="s">
        <v>1310</v>
      </c>
      <c r="C59" s="639" t="s">
        <v>1311</v>
      </c>
      <c r="D59" s="2" t="inlineStr">
        <is>
          <t>☑</t>
        </is>
      </c>
      <c r="E59" s="639" t="s">
        <v>1262</v>
      </c>
      <c r="F59" s="2" t="inlineStr">
        <is>
          <t>☑</t>
        </is>
      </c>
      <c r="G59" s="2" t="inlineStr">
        <is>
          <t>☑</t>
        </is>
      </c>
      <c r="H59" s="639" t="s">
        <v>1262</v>
      </c>
      <c r="I59" s="2" t="inlineStr">
        <is>
          <t>☑</t>
        </is>
      </c>
      <c r="J59" s="2" t="inlineStr">
        <is>
          <t>☑</t>
        </is>
      </c>
      <c r="K59" s="642" t="s">
        <v>112</v>
      </c>
    </row>
    <row r="60" spans="1:11">
      <c r="A60" s="634" t="s"/>
      <c r="B60" s="635" t="s">
        <v>1312</v>
      </c>
      <c r="D60" s="2" t="inlineStr">
        <is>
          <t>☑</t>
        </is>
      </c>
      <c r="F60" s="2" t="inlineStr">
        <is>
          <t>☑</t>
        </is>
      </c>
      <c r="G60" s="2" t="inlineStr">
        <is>
          <t>☑</t>
        </is>
      </c>
      <c r="H60" s="639" t="s">
        <v>1271</v>
      </c>
      <c r="I60" s="2" t="inlineStr">
        <is>
          <t>☑</t>
        </is>
      </c>
      <c r="J60" s="2" t="inlineStr">
        <is>
          <t>☑</t>
        </is>
      </c>
      <c r="K60" s="642" t="s">
        <v>44</v>
      </c>
    </row>
    <row r="61" spans="1:11">
      <c r="A61" s="634" t="s"/>
      <c r="B61" s="635" t="s">
        <v>1313</v>
      </c>
      <c r="C61" s="639" t="s">
        <v>1314</v>
      </c>
      <c r="D61" s="2" t="inlineStr">
        <is>
          <t>☑</t>
        </is>
      </c>
      <c r="E61" s="645" t="s"/>
      <c r="F61" s="2" t="inlineStr">
        <is>
          <t>☑</t>
        </is>
      </c>
      <c r="G61" s="2" t="inlineStr">
        <is>
          <t>☑</t>
        </is>
      </c>
      <c r="H61" s="645" t="s">
        <v>1271</v>
      </c>
      <c r="I61" s="2" t="inlineStr">
        <is>
          <t>☑</t>
        </is>
      </c>
      <c r="J61" s="2" t="inlineStr">
        <is>
          <t>☑</t>
        </is>
      </c>
      <c r="K61" s="642" t="s">
        <v>44</v>
      </c>
    </row>
    <row r="62" spans="1:11" ht="15" customHeight="1">
      <c r="A62" s="634" t="s"/>
      <c r="B62" s="635" t="s">
        <v>1315</v>
      </c>
      <c r="C62" s="645" t="s">
        <v>1316</v>
      </c>
      <c r="D62" s="2" t="inlineStr">
        <is>
          <t>☑</t>
        </is>
      </c>
      <c r="E62" s="639" t="s">
        <v>1262</v>
      </c>
      <c r="F62" s="2" t="inlineStr">
        <is>
          <t>☑</t>
        </is>
      </c>
      <c r="G62" s="2" t="inlineStr">
        <is>
          <t>☑</t>
        </is>
      </c>
      <c r="H62" s="639" t="s">
        <v>1262</v>
      </c>
      <c r="I62" s="2" t="inlineStr">
        <is>
          <t>☑</t>
        </is>
      </c>
      <c r="J62" s="2" t="inlineStr">
        <is>
          <t>☑</t>
        </is>
      </c>
      <c r="K62" s="642" t="s">
        <v>112</v>
      </c>
    </row>
    <row r="63" spans="1:11" ht="15" customHeight="1">
      <c r="A63" s="634" t="s"/>
      <c r="B63" s="635" t="s">
        <v>1317</v>
      </c>
      <c r="C63" s="316" t="s"/>
      <c r="D63" s="316" t="s"/>
      <c r="E63" s="316" t="s"/>
      <c r="F63" s="316" t="s"/>
      <c r="G63" s="316" t="s"/>
      <c r="H63" s="316" t="s"/>
      <c r="I63" s="316" t="s"/>
      <c r="J63" s="316" t="s"/>
      <c r="K63" s="674" t="s"/>
    </row>
    <row r="64" spans="1:11">
      <c r="A64" s="634" t="s"/>
      <c r="B64" s="635" t="s">
        <v>1318</v>
      </c>
      <c r="D64" s="2" t="inlineStr">
        <is>
          <t>☑</t>
        </is>
      </c>
      <c r="F64" s="2" t="inlineStr">
        <is>
          <t>☑</t>
        </is>
      </c>
      <c r="G64" s="2" t="inlineStr">
        <is>
          <t>☑</t>
        </is>
      </c>
      <c r="H64" s="645">
        <v>2</v>
      </c>
      <c r="I64" s="2" t="inlineStr">
        <is>
          <t>☑</t>
        </is>
      </c>
      <c r="J64" s="2" t="inlineStr">
        <is>
          <t>☑</t>
        </is>
      </c>
      <c r="K64" s="642" t="s">
        <v>277</v>
      </c>
    </row>
    <row r="65" spans="1:11">
      <c r="A65" s="634" t="s"/>
      <c r="B65" s="635" t="s">
        <v>1319</v>
      </c>
      <c r="D65" s="2" t="inlineStr">
        <is>
          <t>☑</t>
        </is>
      </c>
      <c r="F65" s="2" t="inlineStr">
        <is>
          <t>☑</t>
        </is>
      </c>
      <c r="G65" s="2" t="inlineStr">
        <is>
          <t>☑</t>
        </is>
      </c>
      <c r="H65" s="645" t="s">
        <v>1237</v>
      </c>
      <c r="I65" s="2" t="inlineStr">
        <is>
          <t>☑</t>
        </is>
      </c>
      <c r="J65" s="2" t="inlineStr">
        <is>
          <t>☑</t>
        </is>
      </c>
      <c r="K65" s="642" t="s">
        <v>277</v>
      </c>
    </row>
    <row r="66" spans="1:11">
      <c r="A66" s="634" t="s"/>
      <c r="B66" s="635" t="s">
        <v>1320</v>
      </c>
      <c r="C66" s="675" t="s">
        <v>1321</v>
      </c>
      <c r="D66" s="2" t="inlineStr">
        <is>
          <t>☑</t>
        </is>
      </c>
      <c r="E66" s="645" t="s">
        <v>1238</v>
      </c>
      <c r="F66" s="2" t="inlineStr">
        <is>
          <t>☑</t>
        </is>
      </c>
      <c r="G66" s="2" t="inlineStr">
        <is>
          <t>☑</t>
        </is>
      </c>
      <c r="H66" s="645" t="s">
        <v>1237</v>
      </c>
      <c r="I66" s="2" t="inlineStr">
        <is>
          <t>☑</t>
        </is>
      </c>
      <c r="J66" s="2" t="inlineStr">
        <is>
          <t>☑</t>
        </is>
      </c>
      <c r="K66" s="642" t="s">
        <v>134</v>
      </c>
    </row>
    <row r="67" spans="1:11">
      <c r="A67" s="634" t="s"/>
      <c r="B67" s="635" t="s">
        <v>1322</v>
      </c>
      <c r="C67" s="676" t="s">
        <v>1323</v>
      </c>
      <c r="D67" s="2" t="inlineStr">
        <is>
          <t>☑</t>
        </is>
      </c>
      <c r="E67" s="645">
        <v>2</v>
      </c>
      <c r="F67" s="2" t="inlineStr">
        <is>
          <t>☑</t>
        </is>
      </c>
      <c r="G67" s="2" t="inlineStr">
        <is>
          <t>☑</t>
        </is>
      </c>
      <c r="H67" s="645">
        <v>2</v>
      </c>
      <c r="I67" s="2" t="inlineStr">
        <is>
          <t>☑</t>
        </is>
      </c>
      <c r="J67" s="2" t="inlineStr">
        <is>
          <t>☑</t>
        </is>
      </c>
      <c r="K67" s="642" t="s">
        <v>134</v>
      </c>
    </row>
    <row r="68" spans="1:11">
      <c r="A68" s="634" t="s"/>
      <c r="B68" s="635" t="s">
        <v>1324</v>
      </c>
      <c r="C68" s="639" t="s">
        <v>1325</v>
      </c>
      <c r="D68" s="2" t="inlineStr">
        <is>
          <t>☑</t>
        </is>
      </c>
      <c r="F68" s="2" t="inlineStr">
        <is>
          <t>☑</t>
        </is>
      </c>
      <c r="G68" s="2" t="inlineStr">
        <is>
          <t>☑</t>
        </is>
      </c>
      <c r="H68" s="645">
        <v>2</v>
      </c>
      <c r="I68" s="2" t="inlineStr">
        <is>
          <t>☑</t>
        </is>
      </c>
      <c r="J68" s="2" t="inlineStr">
        <is>
          <t>☑</t>
        </is>
      </c>
      <c r="K68" s="642" t="s">
        <v>1326</v>
      </c>
    </row>
    <row r="69" spans="1:11">
      <c r="A69" s="634" t="s"/>
      <c r="B69" s="635" t="s">
        <v>1327</v>
      </c>
      <c r="D69" s="2" t="inlineStr">
        <is>
          <t>☑</t>
        </is>
      </c>
      <c r="F69" s="2" t="inlineStr">
        <is>
          <t>☑</t>
        </is>
      </c>
      <c r="G69" s="2" t="inlineStr">
        <is>
          <t>☑</t>
        </is>
      </c>
      <c r="H69" s="645" t="s">
        <v>1238</v>
      </c>
      <c r="I69" s="2" t="inlineStr">
        <is>
          <t>☑</t>
        </is>
      </c>
      <c r="J69" s="2" t="inlineStr">
        <is>
          <t>☑</t>
        </is>
      </c>
      <c r="K69" s="642" t="s">
        <v>134</v>
      </c>
    </row>
    <row r="70" spans="1:11">
      <c r="A70" s="634" t="s"/>
      <c r="B70" s="635" t="s">
        <v>1328</v>
      </c>
      <c r="D70" s="2" t="inlineStr">
        <is>
          <t>☑</t>
        </is>
      </c>
      <c r="F70" s="2" t="inlineStr">
        <is>
          <t>☑</t>
        </is>
      </c>
      <c r="G70" s="2" t="inlineStr">
        <is>
          <t>☑</t>
        </is>
      </c>
      <c r="H70" s="645" t="s">
        <v>1018</v>
      </c>
      <c r="I70" s="2" t="inlineStr">
        <is>
          <t>☑</t>
        </is>
      </c>
      <c r="J70" s="2" t="inlineStr">
        <is>
          <t>☑</t>
        </is>
      </c>
      <c r="K70" s="642" t="s">
        <v>134</v>
      </c>
    </row>
    <row r="71" spans="1:11">
      <c r="A71" s="634" t="s"/>
      <c r="B71" s="635" t="s">
        <v>1329</v>
      </c>
      <c r="D71" s="2" t="inlineStr">
        <is>
          <t>☑</t>
        </is>
      </c>
      <c r="F71" s="2" t="inlineStr">
        <is>
          <t>☑</t>
        </is>
      </c>
      <c r="G71" s="2" t="inlineStr">
        <is>
          <t>☑</t>
        </is>
      </c>
      <c r="H71" s="645" t="s">
        <v>1041</v>
      </c>
      <c r="I71" s="2" t="inlineStr">
        <is>
          <t>☑</t>
        </is>
      </c>
      <c r="J71" s="2" t="inlineStr">
        <is>
          <t>☑</t>
        </is>
      </c>
      <c r="K71" s="642" t="s">
        <v>48</v>
      </c>
    </row>
    <row r="72" spans="1:11" s="684" customFormat="1">
      <c r="A72" s="677" t="s"/>
      <c r="B72" s="678" t="s">
        <v>1330</v>
      </c>
      <c r="C72" s="667" t="s">
        <v>1331</v>
      </c>
      <c r="D72" s="2" t="inlineStr">
        <is>
          <t>☐</t>
        </is>
      </c>
      <c r="E72" s="667" t="s"/>
      <c r="F72" s="2" t="inlineStr">
        <is>
          <t>☐</t>
        </is>
      </c>
      <c r="G72" s="2" t="inlineStr">
        <is>
          <t>☐</t>
        </is>
      </c>
      <c r="H72" s="667" t="s"/>
      <c r="I72" s="2" t="inlineStr">
        <is>
          <t>☐</t>
        </is>
      </c>
      <c r="J72" s="2" t="inlineStr">
        <is>
          <t>☐</t>
        </is>
      </c>
      <c r="K72" s="683" t="s">
        <v>48</v>
      </c>
    </row>
    <row r="73" spans="1:11">
      <c r="A73" s="634" t="s"/>
      <c r="B73" s="635" t="s">
        <v>1332</v>
      </c>
      <c r="D73" s="2" t="inlineStr">
        <is>
          <t>☑</t>
        </is>
      </c>
      <c r="E73" s="639" t="s"/>
      <c r="F73" s="2" t="inlineStr">
        <is>
          <t>☑</t>
        </is>
      </c>
      <c r="G73" s="2" t="inlineStr">
        <is>
          <t>☑</t>
        </is>
      </c>
      <c r="H73" s="639">
        <v>4</v>
      </c>
      <c r="I73" s="2" t="inlineStr">
        <is>
          <t>☑</t>
        </is>
      </c>
      <c r="J73" s="2" t="inlineStr">
        <is>
          <t>☑</t>
        </is>
      </c>
      <c r="K73" s="642" t="s">
        <v>48</v>
      </c>
    </row>
    <row r="74" spans="1:11">
      <c r="A74" s="634" t="s"/>
      <c r="B74" s="635" t="s">
        <v>1333</v>
      </c>
      <c r="D74" s="2" t="inlineStr">
        <is>
          <t>☑</t>
        </is>
      </c>
      <c r="F74" s="2" t="inlineStr">
        <is>
          <t>☑</t>
        </is>
      </c>
      <c r="G74" s="2" t="inlineStr">
        <is>
          <t>☑</t>
        </is>
      </c>
      <c r="H74" s="645">
        <v>3</v>
      </c>
      <c r="I74" s="2" t="inlineStr">
        <is>
          <t>☑</t>
        </is>
      </c>
      <c r="J74" s="2" t="inlineStr">
        <is>
          <t>☑</t>
        </is>
      </c>
      <c r="K74" s="642" t="s">
        <v>44</v>
      </c>
    </row>
    <row r="75" spans="1:11">
      <c r="A75" s="634" t="s"/>
      <c r="B75" s="635" t="s">
        <v>1334</v>
      </c>
      <c r="D75" s="2" t="inlineStr">
        <is>
          <t>☑</t>
        </is>
      </c>
      <c r="F75" s="2" t="inlineStr">
        <is>
          <t>☑</t>
        </is>
      </c>
      <c r="G75" s="2" t="inlineStr">
        <is>
          <t>☑</t>
        </is>
      </c>
      <c r="H75" s="645" t="s">
        <v>1271</v>
      </c>
      <c r="I75" s="2" t="inlineStr">
        <is>
          <t>☑</t>
        </is>
      </c>
      <c r="J75" s="2" t="inlineStr">
        <is>
          <t>☑</t>
        </is>
      </c>
      <c r="K75" s="642" t="s">
        <v>134</v>
      </c>
    </row>
    <row r="76" spans="1:11">
      <c r="A76" s="634" t="s"/>
      <c r="B76" s="635" t="s">
        <v>1335</v>
      </c>
      <c r="D76" s="2" t="inlineStr">
        <is>
          <t>☑</t>
        </is>
      </c>
      <c r="F76" s="2" t="inlineStr">
        <is>
          <t>☑</t>
        </is>
      </c>
      <c r="G76" s="2" t="inlineStr">
        <is>
          <t>☑</t>
        </is>
      </c>
      <c r="H76" s="645">
        <v>4</v>
      </c>
      <c r="I76" s="2" t="inlineStr">
        <is>
          <t>☑</t>
        </is>
      </c>
      <c r="J76" s="2" t="inlineStr">
        <is>
          <t>☑</t>
        </is>
      </c>
      <c r="K76" s="642" t="s">
        <v>134</v>
      </c>
    </row>
    <row r="77" spans="1:12" s="684" customFormat="1">
      <c r="A77" s="665" t="s"/>
      <c r="B77" s="666" t="s">
        <v>1336</v>
      </c>
      <c r="C77" s="667" t="s">
        <v>1337</v>
      </c>
      <c r="D77" s="2" t="inlineStr">
        <is>
          <t>☑</t>
        </is>
      </c>
      <c r="E77" s="668">
        <v>3</v>
      </c>
      <c r="F77" s="2" t="inlineStr">
        <is>
          <t>☐</t>
        </is>
      </c>
      <c r="G77" s="2" t="inlineStr">
        <is>
          <t>☐</t>
        </is>
      </c>
      <c r="H77" s="670" t="s"/>
      <c r="I77" s="2" t="inlineStr">
        <is>
          <t>☐</t>
        </is>
      </c>
      <c r="J77" s="2" t="inlineStr">
        <is>
          <t>☐</t>
        </is>
      </c>
      <c r="K77" s="671" t="s">
        <v>44</v>
      </c>
      <c r="L77" s="684" t="s">
        <v>1338</v>
      </c>
    </row>
    <row r="78" spans="1:11">
      <c r="A78" s="634" t="s"/>
      <c r="B78" s="635" t="s">
        <v>1339</v>
      </c>
      <c r="D78" s="2" t="inlineStr">
        <is>
          <t>☑</t>
        </is>
      </c>
      <c r="F78" s="2" t="inlineStr">
        <is>
          <t>☑</t>
        </is>
      </c>
      <c r="G78" s="2" t="inlineStr">
        <is>
          <t>☑</t>
        </is>
      </c>
      <c r="H78" s="645">
        <v>2</v>
      </c>
      <c r="I78" s="2" t="inlineStr">
        <is>
          <t>☑</t>
        </is>
      </c>
      <c r="J78" s="2" t="inlineStr">
        <is>
          <t>☑</t>
        </is>
      </c>
      <c r="K78" s="642" t="s">
        <v>54</v>
      </c>
    </row>
    <row r="79" spans="1:11">
      <c r="A79" s="685" t="s"/>
      <c r="B79" s="686" t="s">
        <v>70</v>
      </c>
      <c r="D79" s="2" t="inlineStr">
        <is>
          <t>☑</t>
        </is>
      </c>
      <c r="F79" s="2" t="inlineStr">
        <is>
          <t>☑</t>
        </is>
      </c>
      <c r="G79" s="2" t="inlineStr">
        <is>
          <t>☑</t>
        </is>
      </c>
      <c r="H79" s="645" t="s">
        <v>1013</v>
      </c>
      <c r="I79" s="2" t="inlineStr">
        <is>
          <t>☑</t>
        </is>
      </c>
      <c r="J79" s="2" t="inlineStr">
        <is>
          <t>☑</t>
        </is>
      </c>
      <c r="K79" s="642" t="s">
        <v>44</v>
      </c>
    </row>
    <row r="80" spans="1:11">
      <c r="A80" s="634" t="s"/>
      <c r="B80" s="635" t="s">
        <v>1340</v>
      </c>
      <c r="D80" s="2" t="inlineStr">
        <is>
          <t>☑</t>
        </is>
      </c>
      <c r="F80" s="2" t="inlineStr">
        <is>
          <t>☑</t>
        </is>
      </c>
      <c r="G80" s="2" t="inlineStr">
        <is>
          <t>☑</t>
        </is>
      </c>
      <c r="H80" s="639" t="s">
        <v>1271</v>
      </c>
      <c r="I80" s="2" t="inlineStr">
        <is>
          <t>☑</t>
        </is>
      </c>
      <c r="J80" s="2" t="inlineStr">
        <is>
          <t>☑</t>
        </is>
      </c>
      <c r="K80" s="642" t="s">
        <v>277</v>
      </c>
    </row>
    <row r="81" spans="1:11">
      <c r="A81" s="634" t="s"/>
      <c r="B81" s="635" t="s">
        <v>1341</v>
      </c>
      <c r="D81" s="2" t="inlineStr">
        <is>
          <t>☑</t>
        </is>
      </c>
      <c r="F81" s="2" t="inlineStr">
        <is>
          <t>☑</t>
        </is>
      </c>
      <c r="G81" s="2" t="inlineStr">
        <is>
          <t>☑</t>
        </is>
      </c>
      <c r="H81" s="645" t="s">
        <v>1238</v>
      </c>
      <c r="I81" s="2" t="inlineStr">
        <is>
          <t>☑</t>
        </is>
      </c>
      <c r="J81" s="2" t="inlineStr">
        <is>
          <t>☑</t>
        </is>
      </c>
      <c r="K81" s="642" t="s">
        <v>48</v>
      </c>
    </row>
    <row r="82" spans="1:11">
      <c r="A82" s="687" t="s"/>
      <c r="B82" s="688" t="s">
        <v>1342</v>
      </c>
      <c r="D82" s="2" t="inlineStr">
        <is>
          <t>☑</t>
        </is>
      </c>
      <c r="F82" s="2" t="inlineStr">
        <is>
          <t>☑</t>
        </is>
      </c>
      <c r="G82" s="2" t="inlineStr">
        <is>
          <t>☑</t>
        </is>
      </c>
      <c r="H82" s="645" t="s">
        <v>1271</v>
      </c>
      <c r="I82" s="2" t="inlineStr">
        <is>
          <t>☑</t>
        </is>
      </c>
      <c r="J82" s="2" t="inlineStr">
        <is>
          <t>☑</t>
        </is>
      </c>
      <c r="K82" s="642" t="s">
        <v>134</v>
      </c>
    </row>
    <row r="83" spans="1:11">
      <c r="A83" s="634" t="s"/>
      <c r="B83" s="635" t="s">
        <v>1343</v>
      </c>
      <c r="D83" s="2" t="inlineStr">
        <is>
          <t>☑</t>
        </is>
      </c>
      <c r="F83" s="2" t="inlineStr">
        <is>
          <t>☑</t>
        </is>
      </c>
      <c r="G83" s="2" t="inlineStr">
        <is>
          <t>☑</t>
        </is>
      </c>
      <c r="H83" s="645">
        <v>3</v>
      </c>
      <c r="I83" s="2" t="inlineStr">
        <is>
          <t>☑</t>
        </is>
      </c>
      <c r="J83" s="2" t="inlineStr">
        <is>
          <t>☑</t>
        </is>
      </c>
      <c r="K83" s="642" t="s">
        <v>44</v>
      </c>
    </row>
    <row r="84" spans="1:11">
      <c r="A84" s="634" t="s"/>
      <c r="B84" s="635" t="s">
        <v>1344</v>
      </c>
      <c r="D84" s="2" t="inlineStr">
        <is>
          <t>☑</t>
        </is>
      </c>
      <c r="F84" s="2" t="inlineStr">
        <is>
          <t>☑</t>
        </is>
      </c>
      <c r="G84" s="2" t="inlineStr">
        <is>
          <t>☑</t>
        </is>
      </c>
      <c r="H84" s="645" t="s">
        <v>1238</v>
      </c>
      <c r="I84" s="2" t="inlineStr">
        <is>
          <t>☑</t>
        </is>
      </c>
      <c r="J84" s="2" t="inlineStr">
        <is>
          <t>☑</t>
        </is>
      </c>
      <c r="K84" s="642" t="s">
        <v>277</v>
      </c>
    </row>
    <row r="85" spans="1:11">
      <c r="A85" s="634" t="s"/>
      <c r="B85" s="635" t="s">
        <v>1345</v>
      </c>
      <c r="C85" s="639" t="s">
        <v>1346</v>
      </c>
      <c r="D85" s="2" t="inlineStr">
        <is>
          <t>☑</t>
        </is>
      </c>
      <c r="E85" s="645" t="s">
        <v>995</v>
      </c>
      <c r="F85" s="2" t="inlineStr">
        <is>
          <t>☑</t>
        </is>
      </c>
      <c r="G85" s="2" t="inlineStr">
        <is>
          <t>☑</t>
        </is>
      </c>
      <c r="H85" s="645" t="s">
        <v>995</v>
      </c>
      <c r="I85" s="2" t="inlineStr">
        <is>
          <t>☑</t>
        </is>
      </c>
      <c r="J85" s="2" t="inlineStr">
        <is>
          <t>☑</t>
        </is>
      </c>
      <c r="K85" s="642" t="s">
        <v>134</v>
      </c>
    </row>
    <row r="86" spans="1:11">
      <c r="A86" s="634" t="s"/>
      <c r="B86" s="635" t="s">
        <v>1347</v>
      </c>
      <c r="C86" s="676" t="s">
        <v>1348</v>
      </c>
      <c r="D86" s="2" t="inlineStr">
        <is>
          <t>☑</t>
        </is>
      </c>
      <c r="E86" s="645" t="s">
        <v>1238</v>
      </c>
      <c r="F86" s="2" t="inlineStr">
        <is>
          <t>☑</t>
        </is>
      </c>
      <c r="G86" s="2" t="inlineStr">
        <is>
          <t>☑</t>
        </is>
      </c>
      <c r="H86" s="645" t="s">
        <v>1262</v>
      </c>
      <c r="I86" s="2" t="inlineStr">
        <is>
          <t>☑</t>
        </is>
      </c>
      <c r="J86" s="2" t="inlineStr">
        <is>
          <t>☑</t>
        </is>
      </c>
      <c r="K86" s="642" t="s">
        <v>134</v>
      </c>
    </row>
    <row r="87" spans="1:11">
      <c r="A87" s="634" t="s"/>
      <c r="B87" s="635" t="s">
        <v>1349</v>
      </c>
      <c r="D87" s="2" t="inlineStr">
        <is>
          <t>☑</t>
        </is>
      </c>
      <c r="F87" s="2" t="inlineStr">
        <is>
          <t>☑</t>
        </is>
      </c>
      <c r="G87" s="2" t="inlineStr">
        <is>
          <t>☑</t>
        </is>
      </c>
      <c r="H87" s="645" t="s">
        <v>1271</v>
      </c>
      <c r="I87" s="2" t="inlineStr">
        <is>
          <t>☑</t>
        </is>
      </c>
      <c r="J87" s="2" t="inlineStr">
        <is>
          <t>☑</t>
        </is>
      </c>
      <c r="K87" s="642" t="s">
        <v>134</v>
      </c>
    </row>
    <row r="88" spans="1:11">
      <c r="A88" s="634" t="s"/>
      <c r="B88" s="635" t="s">
        <v>1350</v>
      </c>
      <c r="D88" s="2" t="inlineStr">
        <is>
          <t>☑</t>
        </is>
      </c>
      <c r="F88" s="2" t="inlineStr">
        <is>
          <t>☑</t>
        </is>
      </c>
      <c r="G88" s="2" t="inlineStr">
        <is>
          <t>☑</t>
        </is>
      </c>
      <c r="H88" s="645">
        <v>4</v>
      </c>
      <c r="I88" s="2" t="inlineStr">
        <is>
          <t>☑</t>
        </is>
      </c>
      <c r="J88" s="2" t="inlineStr">
        <is>
          <t>☑</t>
        </is>
      </c>
      <c r="K88" s="642" t="s">
        <v>134</v>
      </c>
    </row>
    <row r="89" spans="1:11">
      <c r="A89" s="634" t="s"/>
      <c r="B89" s="635" t="s">
        <v>1351</v>
      </c>
      <c r="D89" s="2" t="inlineStr">
        <is>
          <t>☑</t>
        </is>
      </c>
      <c r="F89" s="2" t="inlineStr">
        <is>
          <t>☑</t>
        </is>
      </c>
      <c r="G89" s="2" t="inlineStr">
        <is>
          <t>☑</t>
        </is>
      </c>
      <c r="H89" s="645">
        <v>3</v>
      </c>
      <c r="I89" s="2" t="inlineStr">
        <is>
          <t>☑</t>
        </is>
      </c>
      <c r="J89" s="2" t="inlineStr">
        <is>
          <t>☑</t>
        </is>
      </c>
      <c r="K89" s="642" t="s">
        <v>134</v>
      </c>
    </row>
    <row r="90" spans="1:11">
      <c r="A90" s="634" t="s"/>
      <c r="B90" s="635" t="s">
        <v>1352</v>
      </c>
      <c r="D90" s="2" t="inlineStr">
        <is>
          <t>☑</t>
        </is>
      </c>
      <c r="F90" s="2" t="inlineStr">
        <is>
          <t>☑</t>
        </is>
      </c>
      <c r="G90" s="2" t="inlineStr">
        <is>
          <t>☑</t>
        </is>
      </c>
      <c r="H90" s="645" t="s">
        <v>1238</v>
      </c>
      <c r="I90" s="2" t="inlineStr">
        <is>
          <t>☑</t>
        </is>
      </c>
      <c r="J90" s="2" t="inlineStr">
        <is>
          <t>☑</t>
        </is>
      </c>
      <c r="K90" s="642" t="s">
        <v>48</v>
      </c>
    </row>
    <row r="91" spans="1:11">
      <c r="A91" s="634" t="s"/>
      <c r="B91" s="635" t="s">
        <v>107</v>
      </c>
      <c r="D91" s="2" t="inlineStr">
        <is>
          <t>☑</t>
        </is>
      </c>
      <c r="F91" s="2" t="inlineStr">
        <is>
          <t>☑</t>
        </is>
      </c>
      <c r="G91" s="2" t="inlineStr">
        <is>
          <t>☑</t>
        </is>
      </c>
      <c r="H91" s="645" t="s">
        <v>1353</v>
      </c>
      <c r="I91" s="2" t="inlineStr">
        <is>
          <t>☑</t>
        </is>
      </c>
      <c r="J91" s="2" t="inlineStr">
        <is>
          <t>☑</t>
        </is>
      </c>
      <c r="K91" s="642" t="s">
        <v>44</v>
      </c>
    </row>
    <row r="92" spans="1:11">
      <c r="A92" s="634" t="s"/>
      <c r="B92" s="635" t="s">
        <v>175</v>
      </c>
      <c r="C92" s="639" t="s">
        <v>1354</v>
      </c>
      <c r="D92" s="2" t="inlineStr">
        <is>
          <t>☑</t>
        </is>
      </c>
      <c r="E92" s="645">
        <v>3</v>
      </c>
      <c r="F92" s="2" t="inlineStr">
        <is>
          <t>☑</t>
        </is>
      </c>
      <c r="G92" s="2" t="inlineStr">
        <is>
          <t>☑</t>
        </is>
      </c>
      <c r="H92" s="645">
        <v>3</v>
      </c>
      <c r="I92" s="2" t="inlineStr">
        <is>
          <t>☑</t>
        </is>
      </c>
      <c r="J92" s="2" t="inlineStr">
        <is>
          <t>☑</t>
        </is>
      </c>
      <c r="K92" s="642" t="s">
        <v>44</v>
      </c>
    </row>
    <row r="93" spans="1:11">
      <c r="A93" s="634" t="s"/>
      <c r="B93" s="635" t="s">
        <v>1355</v>
      </c>
      <c r="D93" s="2" t="inlineStr">
        <is>
          <t>☑</t>
        </is>
      </c>
      <c r="F93" s="2" t="inlineStr">
        <is>
          <t>☑</t>
        </is>
      </c>
      <c r="G93" s="2" t="inlineStr">
        <is>
          <t>☑</t>
        </is>
      </c>
      <c r="H93" s="645" t="s">
        <v>1018</v>
      </c>
      <c r="I93" s="2" t="inlineStr">
        <is>
          <t>☑</t>
        </is>
      </c>
      <c r="J93" s="2" t="inlineStr">
        <is>
          <t>☑</t>
        </is>
      </c>
      <c r="K93" s="642" t="s">
        <v>112</v>
      </c>
    </row>
    <row r="94" spans="1:11">
      <c r="A94" s="634" t="s"/>
      <c r="B94" s="635" t="s">
        <v>1356</v>
      </c>
      <c r="D94" s="2" t="inlineStr">
        <is>
          <t>☑</t>
        </is>
      </c>
      <c r="F94" s="2" t="inlineStr">
        <is>
          <t>☑</t>
        </is>
      </c>
      <c r="G94" s="2" t="inlineStr">
        <is>
          <t>☑</t>
        </is>
      </c>
      <c r="H94" s="645" t="s">
        <v>999</v>
      </c>
      <c r="I94" s="2" t="inlineStr">
        <is>
          <t>☑</t>
        </is>
      </c>
      <c r="J94" s="2" t="inlineStr">
        <is>
          <t>☑</t>
        </is>
      </c>
      <c r="K94" s="642" t="s">
        <v>44</v>
      </c>
    </row>
    <row r="95" spans="1:11">
      <c r="A95" s="634" t="s"/>
      <c r="B95" s="635" t="s">
        <v>1357</v>
      </c>
      <c r="D95" s="2" t="inlineStr">
        <is>
          <t>☑</t>
        </is>
      </c>
      <c r="F95" s="2" t="inlineStr">
        <is>
          <t>☑</t>
        </is>
      </c>
      <c r="G95" s="2" t="inlineStr">
        <is>
          <t>☑</t>
        </is>
      </c>
      <c r="H95" s="645">
        <v>2</v>
      </c>
      <c r="I95" s="2" t="inlineStr">
        <is>
          <t>☑</t>
        </is>
      </c>
      <c r="J95" s="2" t="inlineStr">
        <is>
          <t>☑</t>
        </is>
      </c>
      <c r="K95" s="642" t="s">
        <v>134</v>
      </c>
    </row>
    <row r="96" spans="1:11">
      <c r="A96" s="634" t="s"/>
      <c r="B96" s="635" t="s">
        <v>1358</v>
      </c>
      <c r="D96" s="2" t="inlineStr">
        <is>
          <t>☑</t>
        </is>
      </c>
      <c r="F96" s="2" t="inlineStr">
        <is>
          <t>☑</t>
        </is>
      </c>
      <c r="G96" s="2" t="inlineStr">
        <is>
          <t>☑</t>
        </is>
      </c>
      <c r="H96" s="645" t="s">
        <v>1271</v>
      </c>
      <c r="I96" s="2" t="inlineStr">
        <is>
          <t>☑</t>
        </is>
      </c>
      <c r="J96" s="2" t="inlineStr">
        <is>
          <t>☑</t>
        </is>
      </c>
      <c r="K96" s="642" t="s">
        <v>134</v>
      </c>
    </row>
    <row r="97" spans="3:11">
      <c r="C97" s="639" t="s">
        <v>1359</v>
      </c>
      <c r="D97" s="2" t="inlineStr">
        <is>
          <t>☑</t>
        </is>
      </c>
      <c r="E97" s="645" t="s">
        <v>1238</v>
      </c>
      <c r="F97" s="2" t="inlineStr">
        <is>
          <t>☑</t>
        </is>
      </c>
      <c r="G97" s="2" t="inlineStr">
        <is>
          <t>☑</t>
        </is>
      </c>
      <c r="H97" s="645" t="s">
        <v>1238</v>
      </c>
      <c r="I97" s="2" t="inlineStr">
        <is>
          <t>☑</t>
        </is>
      </c>
      <c r="J97" s="2" t="inlineStr">
        <is>
          <t>☑</t>
        </is>
      </c>
      <c r="K97" s="642" t="s">
        <v>54</v>
      </c>
    </row>
    <row r="98" spans="1:11">
      <c r="A98" s="649" t="s"/>
      <c r="B98" s="650" t="s">
        <v>1360</v>
      </c>
      <c r="D98" s="2" t="inlineStr">
        <is>
          <t>☑</t>
        </is>
      </c>
      <c r="F98" s="2" t="inlineStr">
        <is>
          <t>☑</t>
        </is>
      </c>
      <c r="G98" s="2" t="inlineStr">
        <is>
          <t>☑</t>
        </is>
      </c>
      <c r="H98" s="645">
        <v>2</v>
      </c>
      <c r="I98" s="2" t="inlineStr">
        <is>
          <t>☑</t>
        </is>
      </c>
      <c r="J98" s="2" t="inlineStr">
        <is>
          <t>☑</t>
        </is>
      </c>
      <c r="K98" s="642" t="s">
        <v>44</v>
      </c>
    </row>
    <row r="99" spans="1:11">
      <c r="A99" s="634" t="s"/>
      <c r="B99" s="635" t="s">
        <v>1361</v>
      </c>
      <c r="D99" s="2" t="inlineStr">
        <is>
          <t>☑</t>
        </is>
      </c>
      <c r="F99" s="2" t="inlineStr">
        <is>
          <t>☑</t>
        </is>
      </c>
      <c r="G99" s="2" t="inlineStr">
        <is>
          <t>☑</t>
        </is>
      </c>
      <c r="H99" s="645" t="s">
        <v>1238</v>
      </c>
      <c r="I99" s="2" t="inlineStr">
        <is>
          <t>☑</t>
        </is>
      </c>
      <c r="J99" s="2" t="inlineStr">
        <is>
          <t>☑</t>
        </is>
      </c>
      <c r="K99" s="642" t="s">
        <v>112</v>
      </c>
    </row>
    <row r="100" spans="3:11">
      <c r="C100" s="639" t="s">
        <v>1362</v>
      </c>
      <c r="D100" s="2" t="inlineStr">
        <is>
          <t>☑</t>
        </is>
      </c>
      <c r="E100" s="645">
        <v>2</v>
      </c>
      <c r="F100" s="2" t="inlineStr">
        <is>
          <t>☑</t>
        </is>
      </c>
      <c r="G100" s="2" t="inlineStr">
        <is>
          <t>☑</t>
        </is>
      </c>
      <c r="H100" s="645">
        <v>2</v>
      </c>
      <c r="I100" s="2" t="inlineStr">
        <is>
          <t>☐</t>
        </is>
      </c>
      <c r="J100" s="2" t="inlineStr">
        <is>
          <t>☐</t>
        </is>
      </c>
      <c r="K100" s="642" t="s">
        <v>134</v>
      </c>
    </row>
    <row r="101" spans="3:11">
      <c r="C101" s="639" t="s">
        <v>1363</v>
      </c>
      <c r="D101" s="2" t="inlineStr">
        <is>
          <t>☑</t>
        </is>
      </c>
      <c r="E101" s="645" t="s">
        <v>1237</v>
      </c>
      <c r="F101" s="2" t="inlineStr">
        <is>
          <t>☑</t>
        </is>
      </c>
      <c r="G101" s="2" t="inlineStr">
        <is>
          <t>☑</t>
        </is>
      </c>
      <c r="H101" s="645" t="s">
        <v>1237</v>
      </c>
      <c r="I101" s="2" t="inlineStr">
        <is>
          <t>☐</t>
        </is>
      </c>
      <c r="J101" s="2" t="inlineStr">
        <is>
          <t>☐</t>
        </is>
      </c>
      <c r="K101" s="642" t="s">
        <v>134</v>
      </c>
    </row>
    <row r="102" spans="1:11">
      <c r="A102" s="634" t="s"/>
      <c r="B102" s="635" t="s">
        <v>1364</v>
      </c>
      <c r="C102" s="639" t="s">
        <v>1365</v>
      </c>
      <c r="D102" s="2" t="inlineStr">
        <is>
          <t>☑</t>
        </is>
      </c>
      <c r="E102" s="645">
        <v>4</v>
      </c>
      <c r="F102" s="2" t="inlineStr">
        <is>
          <t>☑</t>
        </is>
      </c>
      <c r="G102" s="2" t="inlineStr">
        <is>
          <t>☑</t>
        </is>
      </c>
      <c r="H102" s="645">
        <v>4</v>
      </c>
      <c r="I102" s="2" t="inlineStr">
        <is>
          <t>☑</t>
        </is>
      </c>
      <c r="J102" s="2" t="inlineStr">
        <is>
          <t>☑</t>
        </is>
      </c>
      <c r="K102" s="642" t="s">
        <v>48</v>
      </c>
    </row>
    <row r="103" spans="1:11">
      <c r="A103" s="634" t="s"/>
      <c r="B103" s="635" t="s">
        <v>1366</v>
      </c>
      <c r="C103" s="639" t="s">
        <v>1367</v>
      </c>
      <c r="D103" s="2" t="inlineStr">
        <is>
          <t>☑</t>
        </is>
      </c>
      <c r="E103" s="645" t="s">
        <v>1271</v>
      </c>
      <c r="F103" s="2" t="inlineStr">
        <is>
          <t>☑</t>
        </is>
      </c>
      <c r="G103" s="2" t="inlineStr">
        <is>
          <t>☑</t>
        </is>
      </c>
      <c r="H103" s="645" t="s">
        <v>1271</v>
      </c>
      <c r="I103" s="2" t="inlineStr">
        <is>
          <t>☑</t>
        </is>
      </c>
      <c r="J103" s="2" t="inlineStr">
        <is>
          <t>☑</t>
        </is>
      </c>
      <c r="K103" s="642" t="s">
        <v>277</v>
      </c>
    </row>
    <row r="104" spans="3:11">
      <c r="C104" s="639" t="s">
        <v>1368</v>
      </c>
      <c r="D104" s="2" t="inlineStr">
        <is>
          <t>☑</t>
        </is>
      </c>
      <c r="E104" s="645" t="s">
        <v>1262</v>
      </c>
      <c r="F104" s="2" t="inlineStr">
        <is>
          <t>☑</t>
        </is>
      </c>
      <c r="G104" s="2" t="inlineStr">
        <is>
          <t>☑</t>
        </is>
      </c>
      <c r="I104" s="2" t="inlineStr">
        <is>
          <t>☐</t>
        </is>
      </c>
      <c r="J104" s="2" t="inlineStr">
        <is>
          <t>☐</t>
        </is>
      </c>
      <c r="K104" s="642" t="s">
        <v>112</v>
      </c>
    </row>
    <row r="105" spans="1:11">
      <c r="A105" s="634" t="s"/>
      <c r="B105" s="635" t="s">
        <v>1369</v>
      </c>
      <c r="C105" s="639" t="s">
        <v>1370</v>
      </c>
      <c r="D105" s="2" t="inlineStr">
        <is>
          <t>☑</t>
        </is>
      </c>
      <c r="E105" s="645" t="s">
        <v>1238</v>
      </c>
      <c r="F105" s="2" t="inlineStr">
        <is>
          <t>☑</t>
        </is>
      </c>
      <c r="G105" s="2" t="inlineStr">
        <is>
          <t>☑</t>
        </is>
      </c>
      <c r="I105" s="2" t="inlineStr">
        <is>
          <t>☑</t>
        </is>
      </c>
      <c r="J105" s="2" t="inlineStr">
        <is>
          <t>☑</t>
        </is>
      </c>
      <c r="K105" s="642" t="s">
        <v>134</v>
      </c>
    </row>
    <row r="106" spans="1:11">
      <c r="A106" s="634" t="s"/>
      <c r="B106" s="635" t="s">
        <v>1371</v>
      </c>
      <c r="C106" s="676" t="s">
        <v>984</v>
      </c>
      <c r="D106" s="2" t="inlineStr">
        <is>
          <t>☑</t>
        </is>
      </c>
      <c r="E106" s="645" t="s">
        <v>1018</v>
      </c>
      <c r="F106" s="2" t="inlineStr">
        <is>
          <t>☑</t>
        </is>
      </c>
      <c r="G106" s="2" t="inlineStr">
        <is>
          <t>☑</t>
        </is>
      </c>
      <c r="I106" s="2" t="inlineStr">
        <is>
          <t>☑</t>
        </is>
      </c>
      <c r="J106" s="2" t="inlineStr">
        <is>
          <t>☑</t>
        </is>
      </c>
      <c r="K106" s="642" t="s">
        <v>134</v>
      </c>
    </row>
    <row r="107" spans="1:11">
      <c r="A107" s="634" t="s"/>
      <c r="B107" s="635" t="s">
        <v>1372</v>
      </c>
      <c r="D107" s="2" t="inlineStr">
        <is>
          <t>☑</t>
        </is>
      </c>
      <c r="F107" s="2" t="inlineStr">
        <is>
          <t>☑</t>
        </is>
      </c>
      <c r="G107" s="2" t="inlineStr">
        <is>
          <t>☑</t>
        </is>
      </c>
      <c r="H107" s="645" t="s">
        <v>1013</v>
      </c>
      <c r="I107" s="2" t="inlineStr">
        <is>
          <t>☑</t>
        </is>
      </c>
      <c r="J107" s="2" t="inlineStr">
        <is>
          <t>☑</t>
        </is>
      </c>
      <c r="K107" s="642" t="s">
        <v>279</v>
      </c>
    </row>
    <row r="108" spans="1:11">
      <c r="A108" s="634" t="s"/>
      <c r="B108" s="635" t="s">
        <v>1373</v>
      </c>
      <c r="D108" s="2" t="inlineStr">
        <is>
          <t>☑</t>
        </is>
      </c>
      <c r="F108" s="2" t="inlineStr">
        <is>
          <t>☑</t>
        </is>
      </c>
      <c r="G108" s="2" t="inlineStr">
        <is>
          <t>☑</t>
        </is>
      </c>
      <c r="H108" s="645" t="s">
        <v>995</v>
      </c>
      <c r="I108" s="2" t="inlineStr">
        <is>
          <t>☑</t>
        </is>
      </c>
      <c r="J108" s="2" t="inlineStr">
        <is>
          <t>☑</t>
        </is>
      </c>
      <c r="K108" s="642" t="s">
        <v>279</v>
      </c>
    </row>
    <row r="109" spans="1:11">
      <c r="A109" s="634" t="s"/>
      <c r="B109" s="635" t="s">
        <v>1374</v>
      </c>
      <c r="D109" s="2" t="inlineStr">
        <is>
          <t>☑</t>
        </is>
      </c>
      <c r="F109" s="2" t="inlineStr">
        <is>
          <t>☑</t>
        </is>
      </c>
      <c r="G109" s="2" t="inlineStr">
        <is>
          <t>☑</t>
        </is>
      </c>
      <c r="H109" s="645">
        <v>3</v>
      </c>
      <c r="I109" s="2" t="inlineStr">
        <is>
          <t>☑</t>
        </is>
      </c>
      <c r="J109" s="2" t="inlineStr">
        <is>
          <t>☑</t>
        </is>
      </c>
      <c r="K109" s="642" t="s">
        <v>279</v>
      </c>
    </row>
    <row r="110" spans="1:11">
      <c r="A110" s="634" t="s"/>
      <c r="B110" s="635" t="s">
        <v>1375</v>
      </c>
      <c r="D110" s="2" t="inlineStr">
        <is>
          <t>☑</t>
        </is>
      </c>
      <c r="F110" s="2" t="inlineStr">
        <is>
          <t>☑</t>
        </is>
      </c>
      <c r="G110" s="2" t="inlineStr">
        <is>
          <t>☑</t>
        </is>
      </c>
      <c r="H110" s="645" t="s">
        <v>904</v>
      </c>
      <c r="I110" s="2" t="inlineStr">
        <is>
          <t>☑</t>
        </is>
      </c>
      <c r="J110" s="2" t="inlineStr">
        <is>
          <t>☑</t>
        </is>
      </c>
      <c r="K110" s="642" t="s">
        <v>279</v>
      </c>
    </row>
    <row r="111" spans="1:11">
      <c r="A111" s="634" t="s"/>
      <c r="B111" s="635" t="s">
        <v>1376</v>
      </c>
      <c r="D111" s="2" t="inlineStr">
        <is>
          <t>☑</t>
        </is>
      </c>
      <c r="F111" s="2" t="inlineStr">
        <is>
          <t>☑</t>
        </is>
      </c>
      <c r="G111" s="2" t="inlineStr">
        <is>
          <t>☑</t>
        </is>
      </c>
      <c r="H111" s="645" t="s">
        <v>1238</v>
      </c>
      <c r="I111" s="2" t="inlineStr">
        <is>
          <t>☑</t>
        </is>
      </c>
      <c r="J111" s="2" t="inlineStr">
        <is>
          <t>☑</t>
        </is>
      </c>
      <c r="K111" s="642" t="s">
        <v>48</v>
      </c>
    </row>
    <row r="112" spans="1:11">
      <c r="A112" s="634" t="s"/>
      <c r="B112" s="635" t="s">
        <v>1377</v>
      </c>
      <c r="D112" s="2" t="inlineStr">
        <is>
          <t>☑</t>
        </is>
      </c>
      <c r="F112" s="2" t="inlineStr">
        <is>
          <t>☑</t>
        </is>
      </c>
      <c r="G112" s="2" t="inlineStr">
        <is>
          <t>☑</t>
        </is>
      </c>
      <c r="H112" s="645">
        <v>3</v>
      </c>
      <c r="I112" s="2" t="inlineStr">
        <is>
          <t>☑</t>
        </is>
      </c>
      <c r="J112" s="2" t="inlineStr">
        <is>
          <t>☑</t>
        </is>
      </c>
      <c r="K112" s="642" t="s">
        <v>134</v>
      </c>
    </row>
    <row r="113" spans="1:11">
      <c r="A113" s="634" t="s"/>
      <c r="B113" s="635" t="s">
        <v>1378</v>
      </c>
      <c r="D113" s="2" t="inlineStr">
        <is>
          <t>☑</t>
        </is>
      </c>
      <c r="F113" s="2" t="inlineStr">
        <is>
          <t>☑</t>
        </is>
      </c>
      <c r="G113" s="2" t="inlineStr">
        <is>
          <t>☑</t>
        </is>
      </c>
      <c r="H113" s="645" t="s">
        <v>1013</v>
      </c>
      <c r="I113" s="2" t="inlineStr">
        <is>
          <t>☑</t>
        </is>
      </c>
      <c r="J113" s="2" t="inlineStr">
        <is>
          <t>☑</t>
        </is>
      </c>
      <c r="K113" s="642" t="s">
        <v>134</v>
      </c>
    </row>
    <row r="114" spans="1:11">
      <c r="A114" s="634" t="s"/>
      <c r="B114" s="635" t="s">
        <v>1379</v>
      </c>
      <c r="D114" s="2" t="inlineStr">
        <is>
          <t>☑</t>
        </is>
      </c>
      <c r="F114" s="2" t="inlineStr">
        <is>
          <t>☑</t>
        </is>
      </c>
      <c r="G114" s="2" t="inlineStr">
        <is>
          <t>☑</t>
        </is>
      </c>
      <c r="H114" s="645" t="s">
        <v>1238</v>
      </c>
      <c r="I114" s="2" t="inlineStr">
        <is>
          <t>☑</t>
        </is>
      </c>
      <c r="J114" s="2" t="inlineStr">
        <is>
          <t>☑</t>
        </is>
      </c>
      <c r="K114" s="642" t="s">
        <v>54</v>
      </c>
    </row>
    <row r="115" spans="1:11">
      <c r="A115" s="634" t="s"/>
      <c r="B115" s="635" t="s">
        <v>1380</v>
      </c>
      <c r="C115" s="639" t="s">
        <v>1381</v>
      </c>
      <c r="D115" s="2" t="inlineStr">
        <is>
          <t>☑</t>
        </is>
      </c>
      <c r="E115" s="645">
        <v>3</v>
      </c>
      <c r="F115" s="2" t="inlineStr">
        <is>
          <t>☑</t>
        </is>
      </c>
      <c r="G115" s="2" t="inlineStr">
        <is>
          <t>☑</t>
        </is>
      </c>
      <c r="H115" s="645">
        <v>3</v>
      </c>
      <c r="I115" s="2" t="inlineStr">
        <is>
          <t>☑</t>
        </is>
      </c>
      <c r="J115" s="2" t="inlineStr">
        <is>
          <t>☑</t>
        </is>
      </c>
      <c r="K115" s="642" t="s">
        <v>277</v>
      </c>
    </row>
    <row r="116" spans="1:11">
      <c r="A116" s="634" t="s"/>
      <c r="B116" s="635" t="s">
        <v>1382</v>
      </c>
      <c r="D116" s="2" t="inlineStr">
        <is>
          <t>☑</t>
        </is>
      </c>
      <c r="F116" s="2" t="inlineStr">
        <is>
          <t>☑</t>
        </is>
      </c>
      <c r="G116" s="2" t="inlineStr">
        <is>
          <t>☑</t>
        </is>
      </c>
      <c r="H116" s="645" t="s">
        <v>1238</v>
      </c>
      <c r="I116" s="2" t="inlineStr">
        <is>
          <t>☑</t>
        </is>
      </c>
      <c r="J116" s="2" t="inlineStr">
        <is>
          <t>☑</t>
        </is>
      </c>
      <c r="K116" s="642" t="s">
        <v>134</v>
      </c>
    </row>
    <row r="117" spans="1:11">
      <c r="A117" s="634" t="s"/>
      <c r="B117" s="635" t="s">
        <v>1383</v>
      </c>
      <c r="D117" s="2" t="inlineStr">
        <is>
          <t>☑</t>
        </is>
      </c>
      <c r="F117" s="2" t="inlineStr">
        <is>
          <t>☑</t>
        </is>
      </c>
      <c r="G117" s="2" t="inlineStr">
        <is>
          <t>☑</t>
        </is>
      </c>
      <c r="H117" s="645">
        <v>4</v>
      </c>
      <c r="I117" s="2" t="inlineStr">
        <is>
          <t>☑</t>
        </is>
      </c>
      <c r="J117" s="2" t="inlineStr">
        <is>
          <t>☑</t>
        </is>
      </c>
      <c r="K117" s="642" t="s">
        <v>134</v>
      </c>
    </row>
    <row r="118" spans="1:11">
      <c r="A118" s="634" t="s"/>
      <c r="B118" s="635" t="s">
        <v>1384</v>
      </c>
      <c r="D118" s="2" t="inlineStr">
        <is>
          <t>☑</t>
        </is>
      </c>
      <c r="E118" s="645">
        <v>4</v>
      </c>
      <c r="F118" s="2" t="inlineStr">
        <is>
          <t>☑</t>
        </is>
      </c>
      <c r="G118" s="2" t="inlineStr">
        <is>
          <t>☑</t>
        </is>
      </c>
      <c r="H118" s="645">
        <v>4</v>
      </c>
      <c r="I118" s="2" t="inlineStr">
        <is>
          <t>☑</t>
        </is>
      </c>
      <c r="J118" s="2" t="inlineStr">
        <is>
          <t>☑</t>
        </is>
      </c>
      <c r="K118" s="642" t="s">
        <v>48</v>
      </c>
    </row>
    <row r="119" spans="1:12">
      <c r="A119" s="689" t="s"/>
      <c r="B119" s="690" t="s">
        <v>1385</v>
      </c>
      <c r="C119" s="639" t="s">
        <v>1386</v>
      </c>
      <c r="D119" s="2" t="inlineStr">
        <is>
          <t>☑</t>
        </is>
      </c>
      <c r="E119" s="645" t="s">
        <v>1387</v>
      </c>
      <c r="F119" s="2" t="inlineStr">
        <is>
          <t>☑</t>
        </is>
      </c>
      <c r="G119" s="2" t="inlineStr">
        <is>
          <t>☑</t>
        </is>
      </c>
      <c r="H119" s="645" t="s">
        <v>1387</v>
      </c>
      <c r="I119" s="2" t="inlineStr">
        <is>
          <t>☑</t>
        </is>
      </c>
      <c r="J119" s="2" t="inlineStr">
        <is>
          <t>☑</t>
        </is>
      </c>
      <c r="K119" s="642" t="s">
        <v>379</v>
      </c>
      <c r="L119" t="s">
        <v>1388</v>
      </c>
    </row>
    <row r="120" spans="1:11">
      <c r="A120" s="685" t="s"/>
      <c r="B120" s="686" t="s">
        <v>1389</v>
      </c>
      <c r="C120" s="639" t="s">
        <v>1390</v>
      </c>
      <c r="D120" s="2" t="inlineStr">
        <is>
          <t>☑</t>
        </is>
      </c>
      <c r="E120" s="645" t="s">
        <v>1018</v>
      </c>
      <c r="F120" s="2" t="inlineStr">
        <is>
          <t>☑</t>
        </is>
      </c>
      <c r="G120" s="2" t="inlineStr">
        <is>
          <t>☑</t>
        </is>
      </c>
      <c r="H120" s="645" t="s">
        <v>1018</v>
      </c>
      <c r="I120" s="2" t="inlineStr">
        <is>
          <t>☑</t>
        </is>
      </c>
      <c r="J120" s="2" t="inlineStr">
        <is>
          <t>☑</t>
        </is>
      </c>
      <c r="K120" s="642" t="s">
        <v>48</v>
      </c>
    </row>
    <row r="121" spans="1:11">
      <c r="A121" s="634" t="s"/>
      <c r="B121" s="635" t="s">
        <v>1391</v>
      </c>
      <c r="D121" s="2" t="inlineStr">
        <is>
          <t>☑</t>
        </is>
      </c>
      <c r="E121" s="645" t="s">
        <v>1237</v>
      </c>
      <c r="F121" s="2" t="inlineStr">
        <is>
          <t>☑</t>
        </is>
      </c>
      <c r="G121" s="2" t="inlineStr">
        <is>
          <t>☑</t>
        </is>
      </c>
      <c r="H121" s="645" t="s">
        <v>1237</v>
      </c>
      <c r="I121" s="2" t="inlineStr">
        <is>
          <t>☑</t>
        </is>
      </c>
      <c r="J121" s="2" t="inlineStr">
        <is>
          <t>☑</t>
        </is>
      </c>
      <c r="K121" s="642" t="s">
        <v>48</v>
      </c>
    </row>
    <row r="122" spans="1:11">
      <c r="A122" s="634" t="s"/>
      <c r="B122" s="635" t="s">
        <v>1392</v>
      </c>
      <c r="D122" s="2" t="inlineStr">
        <is>
          <t>☑</t>
        </is>
      </c>
      <c r="F122" s="2" t="inlineStr">
        <is>
          <t>☑</t>
        </is>
      </c>
      <c r="G122" s="2" t="inlineStr">
        <is>
          <t>☑</t>
        </is>
      </c>
      <c r="H122" s="645" t="s">
        <v>995</v>
      </c>
      <c r="I122" s="2" t="inlineStr">
        <is>
          <t>☑</t>
        </is>
      </c>
      <c r="J122" s="2" t="inlineStr">
        <is>
          <t>☑</t>
        </is>
      </c>
      <c r="K122" s="642" t="s">
        <v>48</v>
      </c>
    </row>
    <row r="123" spans="1:11">
      <c r="A123" s="649" t="s"/>
      <c r="B123" s="650" t="s">
        <v>1393</v>
      </c>
      <c r="D123" s="2" t="inlineStr">
        <is>
          <t>☑</t>
        </is>
      </c>
      <c r="F123" s="2" t="inlineStr">
        <is>
          <t>☑</t>
        </is>
      </c>
      <c r="G123" s="2" t="inlineStr">
        <is>
          <t>☑</t>
        </is>
      </c>
      <c r="H123" s="645" t="s">
        <v>995</v>
      </c>
      <c r="I123" s="2" t="inlineStr">
        <is>
          <t>☑</t>
        </is>
      </c>
      <c r="J123" s="2" t="inlineStr">
        <is>
          <t>☑</t>
        </is>
      </c>
      <c r="K123" s="642" t="s">
        <v>439</v>
      </c>
    </row>
    <row r="124" spans="1:11">
      <c r="A124" s="634" t="s"/>
      <c r="B124" s="635" t="s">
        <v>1394</v>
      </c>
      <c r="D124" s="2" t="inlineStr">
        <is>
          <t>☑</t>
        </is>
      </c>
      <c r="F124" s="2" t="inlineStr">
        <is>
          <t>☑</t>
        </is>
      </c>
      <c r="G124" s="2" t="inlineStr">
        <is>
          <t>☑</t>
        </is>
      </c>
      <c r="H124" s="645" t="s">
        <v>1041</v>
      </c>
      <c r="I124" s="2" t="inlineStr">
        <is>
          <t>☑</t>
        </is>
      </c>
      <c r="J124" s="2" t="inlineStr">
        <is>
          <t>☑</t>
        </is>
      </c>
      <c r="K124" s="642" t="s">
        <v>48</v>
      </c>
    </row>
    <row r="125" spans="1:11">
      <c r="A125" s="634" t="s"/>
      <c r="B125" s="635" t="s">
        <v>1375</v>
      </c>
      <c r="D125" s="2" t="inlineStr">
        <is>
          <t>☑</t>
        </is>
      </c>
      <c r="F125" s="2" t="inlineStr">
        <is>
          <t>☑</t>
        </is>
      </c>
      <c r="G125" s="2" t="inlineStr">
        <is>
          <t>☑</t>
        </is>
      </c>
      <c r="H125" s="645" t="s">
        <v>904</v>
      </c>
      <c r="I125" s="2" t="inlineStr">
        <is>
          <t>☑</t>
        </is>
      </c>
      <c r="J125" s="2" t="inlineStr">
        <is>
          <t>☑</t>
        </is>
      </c>
      <c r="K125" s="642" t="s">
        <v>44</v>
      </c>
    </row>
    <row r="126" spans="1:11">
      <c r="A126" s="689" t="s"/>
      <c r="B126" s="690" t="s">
        <v>1395</v>
      </c>
      <c r="D126" s="2" t="inlineStr">
        <is>
          <t>☑</t>
        </is>
      </c>
      <c r="E126" s="645" t="s">
        <v>1018</v>
      </c>
      <c r="F126" s="2" t="inlineStr">
        <is>
          <t>☑</t>
        </is>
      </c>
      <c r="G126" s="2" t="inlineStr">
        <is>
          <t>☑</t>
        </is>
      </c>
      <c r="H126" s="645" t="s">
        <v>1018</v>
      </c>
      <c r="I126" s="2" t="inlineStr">
        <is>
          <t>☑</t>
        </is>
      </c>
      <c r="J126" s="2" t="inlineStr">
        <is>
          <t>☑</t>
        </is>
      </c>
      <c r="K126" s="642" t="s">
        <v>134</v>
      </c>
    </row>
    <row r="127" spans="1:11">
      <c r="A127" s="634" t="s"/>
      <c r="B127" s="635" t="s">
        <v>140</v>
      </c>
      <c r="D127" s="2" t="inlineStr">
        <is>
          <t>☑</t>
        </is>
      </c>
      <c r="F127" s="2" t="inlineStr">
        <is>
          <t>☑</t>
        </is>
      </c>
      <c r="G127" s="2" t="inlineStr">
        <is>
          <t>☑</t>
        </is>
      </c>
      <c r="H127" s="645" t="s">
        <v>1271</v>
      </c>
      <c r="I127" s="2" t="inlineStr">
        <is>
          <t>☑</t>
        </is>
      </c>
      <c r="J127" s="2" t="inlineStr">
        <is>
          <t>☑</t>
        </is>
      </c>
      <c r="K127" s="642" t="s">
        <v>134</v>
      </c>
    </row>
    <row r="128" spans="1:11">
      <c r="A128" s="634" t="s"/>
      <c r="B128" s="635" t="s">
        <v>1396</v>
      </c>
      <c r="D128" s="2" t="inlineStr">
        <is>
          <t>☑</t>
        </is>
      </c>
      <c r="F128" s="2" t="inlineStr">
        <is>
          <t>☑</t>
        </is>
      </c>
      <c r="G128" s="2" t="inlineStr">
        <is>
          <t>☑</t>
        </is>
      </c>
      <c r="H128" s="645">
        <v>3</v>
      </c>
      <c r="I128" s="2" t="inlineStr">
        <is>
          <t>☑</t>
        </is>
      </c>
      <c r="J128" s="2" t="inlineStr">
        <is>
          <t>☑</t>
        </is>
      </c>
      <c r="K128" s="642" t="s">
        <v>134</v>
      </c>
    </row>
    <row r="129" spans="1:11">
      <c r="A129" s="634" t="s"/>
      <c r="B129" s="635" t="s">
        <v>141</v>
      </c>
      <c r="D129" s="2" t="inlineStr">
        <is>
          <t>☑</t>
        </is>
      </c>
      <c r="F129" s="2" t="inlineStr">
        <is>
          <t>☑</t>
        </is>
      </c>
      <c r="G129" s="2" t="inlineStr">
        <is>
          <t>☑</t>
        </is>
      </c>
      <c r="H129" s="645">
        <v>4</v>
      </c>
      <c r="I129" s="2" t="inlineStr">
        <is>
          <t>☑</t>
        </is>
      </c>
      <c r="J129" s="2" t="inlineStr">
        <is>
          <t>☑</t>
        </is>
      </c>
      <c r="K129" s="642" t="s">
        <v>134</v>
      </c>
    </row>
    <row r="130" spans="1:11">
      <c r="A130" s="634" t="s"/>
      <c r="B130" s="635" t="s">
        <v>1397</v>
      </c>
      <c r="D130" s="2" t="inlineStr">
        <is>
          <t>☑</t>
        </is>
      </c>
      <c r="F130" s="2" t="inlineStr">
        <is>
          <t>☑</t>
        </is>
      </c>
      <c r="G130" s="2" t="inlineStr">
        <is>
          <t>☑</t>
        </is>
      </c>
      <c r="H130" s="645" t="s">
        <v>995</v>
      </c>
      <c r="I130" s="2" t="inlineStr">
        <is>
          <t>☑</t>
        </is>
      </c>
      <c r="J130" s="2" t="inlineStr">
        <is>
          <t>☑</t>
        </is>
      </c>
      <c r="K130" s="642" t="s">
        <v>134</v>
      </c>
    </row>
    <row r="131" spans="3:11">
      <c r="C131" s="639" t="s">
        <v>1398</v>
      </c>
      <c r="D131" s="2" t="inlineStr">
        <is>
          <t>☑</t>
        </is>
      </c>
      <c r="E131" s="645" t="s">
        <v>995</v>
      </c>
      <c r="F131" s="2" t="inlineStr">
        <is>
          <t>☑</t>
        </is>
      </c>
      <c r="G131" s="2" t="inlineStr">
        <is>
          <t>☑</t>
        </is>
      </c>
      <c r="H131" s="645" t="s">
        <v>995</v>
      </c>
      <c r="I131" s="2" t="inlineStr">
        <is>
          <t>☐</t>
        </is>
      </c>
      <c r="J131" s="2" t="inlineStr">
        <is>
          <t>☐</t>
        </is>
      </c>
      <c r="K131" s="642" t="s">
        <v>112</v>
      </c>
    </row>
    <row r="132" spans="1:11">
      <c r="A132" s="634" t="s"/>
      <c r="B132" s="635" t="s">
        <v>1399</v>
      </c>
      <c r="C132" s="675" t="s">
        <v>1400</v>
      </c>
      <c r="D132" s="2" t="inlineStr">
        <is>
          <t>☑</t>
        </is>
      </c>
      <c r="E132" s="645" t="s">
        <v>1237</v>
      </c>
      <c r="F132" s="2" t="inlineStr">
        <is>
          <t>☑</t>
        </is>
      </c>
      <c r="G132" s="2" t="inlineStr">
        <is>
          <t>☑</t>
        </is>
      </c>
      <c r="H132" s="645" t="s">
        <v>1237</v>
      </c>
      <c r="I132" s="2" t="inlineStr">
        <is>
          <t>☑</t>
        </is>
      </c>
      <c r="J132" s="2" t="inlineStr">
        <is>
          <t>☑</t>
        </is>
      </c>
      <c r="K132" s="642" t="s">
        <v>134</v>
      </c>
    </row>
    <row r="133" spans="1:11">
      <c r="A133" s="634" t="s"/>
      <c r="B133" s="635" t="s">
        <v>1401</v>
      </c>
      <c r="D133" s="2" t="inlineStr">
        <is>
          <t>☑</t>
        </is>
      </c>
      <c r="F133" s="2" t="inlineStr">
        <is>
          <t>☑</t>
        </is>
      </c>
      <c r="G133" s="2" t="inlineStr">
        <is>
          <t>☑</t>
        </is>
      </c>
      <c r="H133" s="645" t="s">
        <v>995</v>
      </c>
      <c r="I133" s="2" t="inlineStr">
        <is>
          <t>☑</t>
        </is>
      </c>
      <c r="J133" s="2" t="inlineStr">
        <is>
          <t>☑</t>
        </is>
      </c>
      <c r="K133" s="642" t="s">
        <v>134</v>
      </c>
    </row>
    <row r="134" spans="1:11">
      <c r="A134" s="634" t="s"/>
      <c r="B134" s="635" t="s">
        <v>1402</v>
      </c>
      <c r="D134" s="2" t="inlineStr">
        <is>
          <t>☑</t>
        </is>
      </c>
      <c r="F134" s="2" t="inlineStr">
        <is>
          <t>☑</t>
        </is>
      </c>
      <c r="G134" s="2" t="inlineStr">
        <is>
          <t>☑</t>
        </is>
      </c>
      <c r="H134" s="645" t="s">
        <v>1271</v>
      </c>
      <c r="I134" s="2" t="inlineStr">
        <is>
          <t>☑</t>
        </is>
      </c>
      <c r="J134" s="2" t="inlineStr">
        <is>
          <t>☑</t>
        </is>
      </c>
      <c r="K134" s="642" t="s">
        <v>134</v>
      </c>
    </row>
    <row r="135" spans="1:11">
      <c r="A135" s="689" t="s"/>
      <c r="B135" s="690" t="s">
        <v>1403</v>
      </c>
      <c r="D135" s="2" t="inlineStr">
        <is>
          <t>☑</t>
        </is>
      </c>
      <c r="E135" s="645">
        <v>4</v>
      </c>
      <c r="F135" s="2" t="inlineStr">
        <is>
          <t>☑</t>
        </is>
      </c>
      <c r="G135" s="2" t="inlineStr">
        <is>
          <t>☑</t>
        </is>
      </c>
      <c r="H135" s="645">
        <v>4</v>
      </c>
      <c r="I135" s="2" t="inlineStr">
        <is>
          <t>☑</t>
        </is>
      </c>
      <c r="J135" s="2" t="inlineStr">
        <is>
          <t>☑</t>
        </is>
      </c>
      <c r="K135" s="642" t="s">
        <v>134</v>
      </c>
    </row>
    <row r="136" spans="1:11">
      <c r="A136" s="634" t="s"/>
      <c r="B136" s="635" t="s">
        <v>1404</v>
      </c>
      <c r="C136" s="691" t="s">
        <v>1405</v>
      </c>
      <c r="D136" s="2" t="inlineStr">
        <is>
          <t>☑</t>
        </is>
      </c>
      <c r="E136" s="645">
        <v>4</v>
      </c>
      <c r="F136" s="2" t="inlineStr">
        <is>
          <t>☑</t>
        </is>
      </c>
      <c r="G136" s="2" t="inlineStr">
        <is>
          <t>☑</t>
        </is>
      </c>
      <c r="H136" s="645" t="s">
        <v>1018</v>
      </c>
      <c r="I136" s="2" t="inlineStr">
        <is>
          <t>☑</t>
        </is>
      </c>
      <c r="J136" s="2" t="inlineStr">
        <is>
          <t>☑</t>
        </is>
      </c>
      <c r="K136" s="642" t="s">
        <v>44</v>
      </c>
    </row>
    <row r="137" spans="1:11">
      <c r="A137" s="634" t="s"/>
      <c r="B137" s="635" t="s">
        <v>1406</v>
      </c>
      <c r="C137" s="639" t="s">
        <v>1407</v>
      </c>
      <c r="D137" s="2" t="inlineStr">
        <is>
          <t>☑</t>
        </is>
      </c>
      <c r="E137" s="645" t="s">
        <v>995</v>
      </c>
      <c r="F137" s="2" t="inlineStr">
        <is>
          <t>☑</t>
        </is>
      </c>
      <c r="G137" s="2" t="inlineStr">
        <is>
          <t>☑</t>
        </is>
      </c>
      <c r="H137" s="645">
        <v>3</v>
      </c>
      <c r="I137" s="2" t="inlineStr">
        <is>
          <t>☑</t>
        </is>
      </c>
      <c r="J137" s="2" t="inlineStr">
        <is>
          <t>☑</t>
        </is>
      </c>
      <c r="K137" s="642" t="s">
        <v>44</v>
      </c>
    </row>
    <row r="138" spans="1:12" s="672" customFormat="1">
      <c r="A138" s="665" t="s"/>
      <c r="B138" s="666" t="s">
        <v>1408</v>
      </c>
      <c r="C138" s="667" t="s">
        <v>1409</v>
      </c>
      <c r="D138" s="2" t="inlineStr">
        <is>
          <t>☑</t>
        </is>
      </c>
      <c r="E138" s="668" t="s">
        <v>1237</v>
      </c>
      <c r="F138" s="2" t="inlineStr">
        <is>
          <t>☑</t>
        </is>
      </c>
      <c r="G138" s="2" t="inlineStr">
        <is>
          <t>☑</t>
        </is>
      </c>
      <c r="H138" s="668" t="s">
        <v>1018</v>
      </c>
      <c r="I138" s="2" t="inlineStr">
        <is>
          <t>☐</t>
        </is>
      </c>
      <c r="J138" s="2" t="inlineStr">
        <is>
          <t>☐</t>
        </is>
      </c>
      <c r="K138" s="671" t="s">
        <v>44</v>
      </c>
      <c r="L138" s="684" t="s">
        <v>1410</v>
      </c>
    </row>
    <row r="139" spans="1:11">
      <c r="A139" s="634" t="s"/>
      <c r="B139" s="635" t="s">
        <v>1411</v>
      </c>
      <c r="D139" s="2" t="inlineStr">
        <is>
          <t>☑</t>
        </is>
      </c>
      <c r="F139" s="2" t="inlineStr">
        <is>
          <t>☑</t>
        </is>
      </c>
      <c r="G139" s="2" t="inlineStr">
        <is>
          <t>☑</t>
        </is>
      </c>
      <c r="H139" s="645" t="s">
        <v>1013</v>
      </c>
      <c r="I139" s="2" t="inlineStr">
        <is>
          <t>☑</t>
        </is>
      </c>
      <c r="J139" s="2" t="inlineStr">
        <is>
          <t>☑</t>
        </is>
      </c>
      <c r="K139" s="642" t="s">
        <v>134</v>
      </c>
    </row>
    <row r="140" spans="1:11">
      <c r="A140" s="634" t="s"/>
      <c r="B140" s="635" t="s">
        <v>1412</v>
      </c>
      <c r="D140" s="2" t="inlineStr">
        <is>
          <t>☑</t>
        </is>
      </c>
      <c r="E140" s="645" t="s">
        <v>995</v>
      </c>
      <c r="F140" s="2" t="inlineStr">
        <is>
          <t>☑</t>
        </is>
      </c>
      <c r="G140" s="2" t="inlineStr">
        <is>
          <t>☑</t>
        </is>
      </c>
      <c r="H140" s="645" t="s">
        <v>995</v>
      </c>
      <c r="I140" s="2" t="inlineStr">
        <is>
          <t>☑</t>
        </is>
      </c>
      <c r="J140" s="2" t="inlineStr">
        <is>
          <t>☑</t>
        </is>
      </c>
      <c r="K140" s="642" t="s">
        <v>134</v>
      </c>
    </row>
    <row r="141" spans="1:11">
      <c r="A141" s="634" t="s"/>
      <c r="B141" s="635" t="s">
        <v>1413</v>
      </c>
      <c r="D141" s="2" t="inlineStr">
        <is>
          <t>☑</t>
        </is>
      </c>
      <c r="F141" s="2" t="inlineStr">
        <is>
          <t>☑</t>
        </is>
      </c>
      <c r="G141" s="2" t="inlineStr">
        <is>
          <t>☑</t>
        </is>
      </c>
      <c r="H141" s="645" t="s">
        <v>1013</v>
      </c>
      <c r="I141" s="2" t="inlineStr">
        <is>
          <t>☑</t>
        </is>
      </c>
      <c r="J141" s="2" t="inlineStr">
        <is>
          <t>☑</t>
        </is>
      </c>
      <c r="K141" s="642" t="s">
        <v>277</v>
      </c>
    </row>
    <row r="142" spans="1:11">
      <c r="A142" s="634" t="s"/>
      <c r="B142" s="635" t="s">
        <v>1414</v>
      </c>
      <c r="D142" s="2" t="inlineStr">
        <is>
          <t>☑</t>
        </is>
      </c>
      <c r="E142" s="645" t="s">
        <v>1262</v>
      </c>
      <c r="F142" s="2" t="inlineStr">
        <is>
          <t>☑</t>
        </is>
      </c>
      <c r="G142" s="2" t="inlineStr">
        <is>
          <t>☑</t>
        </is>
      </c>
      <c r="I142" s="2" t="inlineStr">
        <is>
          <t>☑</t>
        </is>
      </c>
      <c r="J142" s="2" t="inlineStr">
        <is>
          <t>☑</t>
        </is>
      </c>
      <c r="K142" s="642" t="s">
        <v>1276</v>
      </c>
    </row>
    <row r="143" spans="1:11">
      <c r="A143" s="634" t="s"/>
      <c r="B143" s="635" t="s">
        <v>1415</v>
      </c>
      <c r="D143" s="2" t="inlineStr">
        <is>
          <t>☑</t>
        </is>
      </c>
      <c r="F143" s="2" t="inlineStr">
        <is>
          <t>☑</t>
        </is>
      </c>
      <c r="G143" s="2" t="inlineStr">
        <is>
          <t>☑</t>
        </is>
      </c>
      <c r="H143" s="645">
        <v>4</v>
      </c>
      <c r="I143" s="2" t="inlineStr">
        <is>
          <t>☑</t>
        </is>
      </c>
      <c r="J143" s="2" t="inlineStr">
        <is>
          <t>☑</t>
        </is>
      </c>
      <c r="K143" s="642" t="s">
        <v>44</v>
      </c>
    </row>
    <row r="144" spans="1:11">
      <c r="A144" s="634" t="s"/>
      <c r="B144" s="635" t="s">
        <v>1416</v>
      </c>
      <c r="C144" s="639" t="s">
        <v>1417</v>
      </c>
      <c r="D144" s="2" t="inlineStr">
        <is>
          <t>☑</t>
        </is>
      </c>
      <c r="E144" s="645" t="s">
        <v>1271</v>
      </c>
      <c r="F144" s="2" t="inlineStr">
        <is>
          <t>☐</t>
        </is>
      </c>
      <c r="G144" s="2" t="inlineStr">
        <is>
          <t>☐</t>
        </is>
      </c>
      <c r="I144" s="2" t="inlineStr">
        <is>
          <t>☐</t>
        </is>
      </c>
      <c r="J144" s="2" t="inlineStr">
        <is>
          <t>☐</t>
        </is>
      </c>
      <c r="K144" s="642" t="s">
        <v>44</v>
      </c>
    </row>
    <row r="145" spans="1:11">
      <c r="A145" s="634" t="s"/>
      <c r="B145" s="635" t="s">
        <v>1418</v>
      </c>
      <c r="D145" s="2" t="inlineStr">
        <is>
          <t>☑</t>
        </is>
      </c>
      <c r="F145" s="2" t="inlineStr">
        <is>
          <t>☑</t>
        </is>
      </c>
      <c r="G145" s="2" t="inlineStr">
        <is>
          <t>☑</t>
        </is>
      </c>
      <c r="H145" s="645">
        <v>4</v>
      </c>
      <c r="I145" s="2" t="inlineStr">
        <is>
          <t>☑</t>
        </is>
      </c>
      <c r="J145" s="2" t="inlineStr">
        <is>
          <t>☑</t>
        </is>
      </c>
      <c r="K145" s="642" t="s">
        <v>44</v>
      </c>
    </row>
    <row r="146" spans="1:11">
      <c r="A146" s="634" t="s"/>
      <c r="B146" s="635" t="s">
        <v>1419</v>
      </c>
      <c r="C146" s="639" t="s">
        <v>1420</v>
      </c>
      <c r="D146" s="2" t="inlineStr">
        <is>
          <t>☑</t>
        </is>
      </c>
      <c r="E146" s="645" t="s">
        <v>1262</v>
      </c>
      <c r="F146" s="2" t="inlineStr">
        <is>
          <t>☑</t>
        </is>
      </c>
      <c r="G146" s="2" t="inlineStr">
        <is>
          <t>☑</t>
        </is>
      </c>
      <c r="H146" s="645" t="s">
        <v>1262</v>
      </c>
      <c r="I146" s="2" t="inlineStr">
        <is>
          <t>☑</t>
        </is>
      </c>
      <c r="J146" s="2" t="inlineStr">
        <is>
          <t>☑</t>
        </is>
      </c>
      <c r="K146" s="642" t="s">
        <v>44</v>
      </c>
    </row>
    <row r="147" spans="1:11">
      <c r="A147" s="634" t="s"/>
      <c r="B147" s="635" t="s">
        <v>1421</v>
      </c>
      <c r="C147" s="639" t="s">
        <v>1422</v>
      </c>
      <c r="D147" s="2" t="inlineStr">
        <is>
          <t>☑</t>
        </is>
      </c>
      <c r="E147" s="645" t="s">
        <v>1262</v>
      </c>
      <c r="F147" s="2" t="inlineStr">
        <is>
          <t>☐</t>
        </is>
      </c>
      <c r="G147" s="2" t="inlineStr">
        <is>
          <t>☐</t>
        </is>
      </c>
      <c r="I147" s="2" t="inlineStr">
        <is>
          <t>☐</t>
        </is>
      </c>
      <c r="J147" s="2" t="inlineStr">
        <is>
          <t>☐</t>
        </is>
      </c>
      <c r="K147" s="642" t="s">
        <v>44</v>
      </c>
    </row>
    <row r="148" spans="1:11">
      <c r="A148" s="634" t="s"/>
      <c r="B148" s="635" t="s">
        <v>1416</v>
      </c>
      <c r="C148" s="676" t="s">
        <v>1417</v>
      </c>
      <c r="D148" s="2" t="inlineStr">
        <is>
          <t>☑</t>
        </is>
      </c>
      <c r="E148" s="645" t="s">
        <v>1271</v>
      </c>
      <c r="F148" s="2" t="inlineStr">
        <is>
          <t>☐</t>
        </is>
      </c>
      <c r="G148" s="2" t="inlineStr">
        <is>
          <t>☐</t>
        </is>
      </c>
      <c r="I148" s="2" t="inlineStr">
        <is>
          <t>☐</t>
        </is>
      </c>
      <c r="J148" s="2" t="inlineStr">
        <is>
          <t>☐</t>
        </is>
      </c>
      <c r="K148" s="642" t="s">
        <v>44</v>
      </c>
    </row>
    <row r="149" spans="1:11">
      <c r="A149" s="634" t="s"/>
      <c r="B149" s="635" t="s">
        <v>1423</v>
      </c>
      <c r="C149" s="676" t="s">
        <v>1424</v>
      </c>
      <c r="D149" s="2" t="inlineStr">
        <is>
          <t>☑</t>
        </is>
      </c>
      <c r="E149" s="645">
        <v>2</v>
      </c>
      <c r="F149" s="2" t="inlineStr">
        <is>
          <t>☐</t>
        </is>
      </c>
      <c r="G149" s="2" t="inlineStr">
        <is>
          <t>☐</t>
        </is>
      </c>
      <c r="I149" s="2" t="inlineStr">
        <is>
          <t>☐</t>
        </is>
      </c>
      <c r="J149" s="2" t="inlineStr">
        <is>
          <t>☐</t>
        </is>
      </c>
      <c r="K149" s="642" t="s">
        <v>44</v>
      </c>
    </row>
    <row r="150" spans="1:11">
      <c r="A150" s="634" t="s"/>
      <c r="B150" s="635" t="s">
        <v>1425</v>
      </c>
      <c r="C150" s="676" t="s">
        <v>1426</v>
      </c>
      <c r="D150" s="2" t="inlineStr">
        <is>
          <t>☑</t>
        </is>
      </c>
      <c r="E150" s="645" t="s">
        <v>1271</v>
      </c>
      <c r="F150" s="2" t="inlineStr">
        <is>
          <t>☑</t>
        </is>
      </c>
      <c r="G150" s="2" t="inlineStr">
        <is>
          <t>☑</t>
        </is>
      </c>
      <c r="H150" s="692" t="s">
        <v>1271</v>
      </c>
      <c r="I150" s="2" t="inlineStr">
        <is>
          <t>☐</t>
        </is>
      </c>
      <c r="J150" s="2" t="inlineStr">
        <is>
          <t>☐</t>
        </is>
      </c>
      <c r="K150" s="642" t="s">
        <v>44</v>
      </c>
    </row>
    <row r="151" spans="1:11">
      <c r="A151" s="634" t="s"/>
      <c r="B151" s="635" t="s">
        <v>1427</v>
      </c>
      <c r="C151" s="655" t="s">
        <v>1428</v>
      </c>
      <c r="D151" s="2" t="inlineStr">
        <is>
          <t>☑</t>
        </is>
      </c>
      <c r="E151" s="645">
        <v>3</v>
      </c>
      <c r="F151" s="2" t="inlineStr">
        <is>
          <t>☐</t>
        </is>
      </c>
      <c r="G151" s="2" t="inlineStr">
        <is>
          <t>☐</t>
        </is>
      </c>
      <c r="I151" s="2" t="inlineStr">
        <is>
          <t>☐</t>
        </is>
      </c>
      <c r="J151" s="2" t="inlineStr">
        <is>
          <t>☐</t>
        </is>
      </c>
      <c r="K151" s="642" t="s">
        <v>44</v>
      </c>
    </row>
    <row r="152" spans="1:11">
      <c r="A152" s="634" t="s"/>
      <c r="B152" s="635" t="s">
        <v>1429</v>
      </c>
      <c r="C152" s="676" t="s">
        <v>1430</v>
      </c>
      <c r="D152" s="2" t="inlineStr">
        <is>
          <t>☑</t>
        </is>
      </c>
      <c r="E152" s="645" t="s">
        <v>1271</v>
      </c>
      <c r="F152" s="2" t="inlineStr">
        <is>
          <t>☐</t>
        </is>
      </c>
      <c r="G152" s="2" t="inlineStr">
        <is>
          <t>☐</t>
        </is>
      </c>
      <c r="H152" s="692" t="s">
        <v>209</v>
      </c>
      <c r="I152" s="2" t="inlineStr">
        <is>
          <t>☐</t>
        </is>
      </c>
      <c r="J152" s="2" t="inlineStr">
        <is>
          <t>☐</t>
        </is>
      </c>
      <c r="K152" s="642" t="s">
        <v>44</v>
      </c>
    </row>
    <row r="153" spans="1:11">
      <c r="A153" s="634" t="s"/>
      <c r="B153" s="635" t="s">
        <v>1431</v>
      </c>
      <c r="C153" s="639" t="s">
        <v>1432</v>
      </c>
      <c r="D153" s="2" t="inlineStr">
        <is>
          <t>☑</t>
        </is>
      </c>
      <c r="E153" s="645" t="s">
        <v>1262</v>
      </c>
      <c r="F153" s="2" t="inlineStr">
        <is>
          <t>☐</t>
        </is>
      </c>
      <c r="G153" s="2" t="inlineStr">
        <is>
          <t>☐</t>
        </is>
      </c>
      <c r="I153" s="2" t="inlineStr">
        <is>
          <t>☐</t>
        </is>
      </c>
      <c r="J153" s="2" t="inlineStr">
        <is>
          <t>☐</t>
        </is>
      </c>
      <c r="K153" s="642" t="s">
        <v>44</v>
      </c>
    </row>
    <row r="154" spans="1:11">
      <c r="A154" s="634" t="s"/>
      <c r="B154" s="635" t="s">
        <v>1433</v>
      </c>
      <c r="C154" s="658" t="s">
        <v>1434</v>
      </c>
      <c r="D154" s="2" t="inlineStr">
        <is>
          <t>☑</t>
        </is>
      </c>
      <c r="E154" s="639" t="s">
        <v>1237</v>
      </c>
      <c r="F154" s="2" t="inlineStr">
        <is>
          <t>☐</t>
        </is>
      </c>
      <c r="G154" s="2" t="inlineStr">
        <is>
          <t>☐</t>
        </is>
      </c>
      <c r="H154" s="639" t="s"/>
      <c r="I154" s="2" t="inlineStr">
        <is>
          <t>☐</t>
        </is>
      </c>
      <c r="J154" s="2" t="inlineStr">
        <is>
          <t>☐</t>
        </is>
      </c>
      <c r="K154" s="642" t="s">
        <v>277</v>
      </c>
    </row>
    <row r="155" spans="1:11">
      <c r="A155" s="685" t="s"/>
      <c r="B155" s="686" t="s">
        <v>1435</v>
      </c>
      <c r="D155" s="2" t="inlineStr">
        <is>
          <t>☑</t>
        </is>
      </c>
      <c r="F155" s="2" t="inlineStr">
        <is>
          <t>☑</t>
        </is>
      </c>
      <c r="G155" s="2" t="inlineStr">
        <is>
          <t>☑</t>
        </is>
      </c>
      <c r="H155" s="645" t="s">
        <v>1238</v>
      </c>
      <c r="I155" s="2" t="inlineStr">
        <is>
          <t>☑</t>
        </is>
      </c>
      <c r="J155" s="2" t="inlineStr">
        <is>
          <t>☑</t>
        </is>
      </c>
      <c r="K155" s="642" t="s">
        <v>532</v>
      </c>
    </row>
    <row r="156" spans="1:11">
      <c r="A156" s="634" t="s"/>
      <c r="B156" s="635" t="s">
        <v>1436</v>
      </c>
      <c r="D156" s="2" t="inlineStr">
        <is>
          <t>☑</t>
        </is>
      </c>
      <c r="E156" s="645">
        <v>4</v>
      </c>
      <c r="F156" s="2" t="inlineStr">
        <is>
          <t>☑</t>
        </is>
      </c>
      <c r="G156" s="2" t="inlineStr">
        <is>
          <t>☑</t>
        </is>
      </c>
      <c r="H156" s="645">
        <v>4</v>
      </c>
      <c r="I156" s="2" t="inlineStr">
        <is>
          <t>☑</t>
        </is>
      </c>
      <c r="J156" s="2" t="inlineStr">
        <is>
          <t>☑</t>
        </is>
      </c>
      <c r="K156" s="642" t="s">
        <v>439</v>
      </c>
    </row>
    <row r="157" spans="1:11">
      <c r="A157" s="634" t="s"/>
      <c r="B157" s="635" t="s">
        <v>1437</v>
      </c>
      <c r="D157" s="2" t="inlineStr">
        <is>
          <t>☑</t>
        </is>
      </c>
      <c r="F157" s="2" t="inlineStr">
        <is>
          <t>☑</t>
        </is>
      </c>
      <c r="G157" s="2" t="inlineStr">
        <is>
          <t>☑</t>
        </is>
      </c>
      <c r="H157" s="645" t="s">
        <v>1018</v>
      </c>
      <c r="I157" s="2" t="inlineStr">
        <is>
          <t>☑</t>
        </is>
      </c>
      <c r="J157" s="2" t="inlineStr">
        <is>
          <t>☑</t>
        </is>
      </c>
      <c r="K157" s="642" t="s">
        <v>134</v>
      </c>
    </row>
    <row r="158" spans="1:11">
      <c r="A158" s="634" t="s"/>
      <c r="B158" s="635" t="s">
        <v>1438</v>
      </c>
      <c r="D158" s="2" t="inlineStr">
        <is>
          <t>☑</t>
        </is>
      </c>
      <c r="F158" s="2" t="inlineStr">
        <is>
          <t>☑</t>
        </is>
      </c>
      <c r="G158" s="2" t="inlineStr">
        <is>
          <t>☑</t>
        </is>
      </c>
      <c r="H158" s="645" t="s">
        <v>1262</v>
      </c>
      <c r="I158" s="2" t="inlineStr">
        <is>
          <t>☑</t>
        </is>
      </c>
      <c r="J158" s="2" t="inlineStr">
        <is>
          <t>☑</t>
        </is>
      </c>
      <c r="K158" s="642" t="s">
        <v>134</v>
      </c>
    </row>
    <row r="159" spans="1:11">
      <c r="A159" s="634" t="s"/>
      <c r="B159" s="635" t="s">
        <v>1439</v>
      </c>
      <c r="D159" s="2" t="inlineStr">
        <is>
          <t>☑</t>
        </is>
      </c>
      <c r="F159" s="2" t="inlineStr">
        <is>
          <t>☑</t>
        </is>
      </c>
      <c r="G159" s="2" t="inlineStr">
        <is>
          <t>☑</t>
        </is>
      </c>
      <c r="H159" s="645" t="s">
        <v>1271</v>
      </c>
      <c r="I159" s="2" t="inlineStr">
        <is>
          <t>☑</t>
        </is>
      </c>
      <c r="J159" s="2" t="inlineStr">
        <is>
          <t>☑</t>
        </is>
      </c>
      <c r="K159" s="642" t="s">
        <v>134</v>
      </c>
    </row>
    <row r="160" spans="1:11">
      <c r="A160" s="634" t="s"/>
      <c r="B160" s="635" t="s">
        <v>1440</v>
      </c>
      <c r="D160" s="2" t="inlineStr">
        <is>
          <t>☑</t>
        </is>
      </c>
      <c r="F160" s="2" t="inlineStr">
        <is>
          <t>☑</t>
        </is>
      </c>
      <c r="G160" s="2" t="inlineStr">
        <is>
          <t>☑</t>
        </is>
      </c>
      <c r="H160" s="645" t="s">
        <v>1271</v>
      </c>
      <c r="I160" s="2" t="inlineStr">
        <is>
          <t>☑</t>
        </is>
      </c>
      <c r="J160" s="2" t="inlineStr">
        <is>
          <t>☑</t>
        </is>
      </c>
      <c r="K160" s="642" t="s">
        <v>134</v>
      </c>
    </row>
    <row r="161" spans="1:11">
      <c r="A161" s="634" t="s"/>
      <c r="B161" s="635" t="s">
        <v>1441</v>
      </c>
      <c r="D161" s="2" t="inlineStr">
        <is>
          <t>☑</t>
        </is>
      </c>
      <c r="F161" s="2" t="inlineStr">
        <is>
          <t>☑</t>
        </is>
      </c>
      <c r="G161" s="2" t="inlineStr">
        <is>
          <t>☑</t>
        </is>
      </c>
      <c r="H161" s="645" t="s">
        <v>1271</v>
      </c>
      <c r="I161" s="2" t="inlineStr">
        <is>
          <t>☑</t>
        </is>
      </c>
      <c r="J161" s="2" t="inlineStr">
        <is>
          <t>☑</t>
        </is>
      </c>
      <c r="K161" s="642" t="s">
        <v>134</v>
      </c>
    </row>
    <row r="162" spans="1:11">
      <c r="A162" s="634" t="s"/>
      <c r="B162" s="635" t="s">
        <v>1442</v>
      </c>
      <c r="D162" s="2" t="inlineStr">
        <is>
          <t>☑</t>
        </is>
      </c>
      <c r="F162" s="2" t="inlineStr">
        <is>
          <t>☑</t>
        </is>
      </c>
      <c r="G162" s="2" t="inlineStr">
        <is>
          <t>☑</t>
        </is>
      </c>
      <c r="H162" s="645" t="s">
        <v>1262</v>
      </c>
      <c r="I162" s="2" t="inlineStr">
        <is>
          <t>☑</t>
        </is>
      </c>
      <c r="J162" s="2" t="inlineStr">
        <is>
          <t>☑</t>
        </is>
      </c>
      <c r="K162" s="642" t="s">
        <v>134</v>
      </c>
    </row>
    <row r="163" spans="1:11">
      <c r="A163" s="634" t="s"/>
      <c r="B163" s="635" t="s">
        <v>1443</v>
      </c>
      <c r="D163" s="2" t="inlineStr">
        <is>
          <t>☑</t>
        </is>
      </c>
      <c r="F163" s="2" t="inlineStr">
        <is>
          <t>☑</t>
        </is>
      </c>
      <c r="G163" s="2" t="inlineStr">
        <is>
          <t>☑</t>
        </is>
      </c>
      <c r="H163" s="645" t="s">
        <v>1018</v>
      </c>
      <c r="I163" s="2" t="inlineStr">
        <is>
          <t>☑</t>
        </is>
      </c>
      <c r="J163" s="2" t="inlineStr">
        <is>
          <t>☑</t>
        </is>
      </c>
      <c r="K163" s="642" t="s">
        <v>54</v>
      </c>
    </row>
    <row r="164" spans="1:11">
      <c r="A164" s="634" t="s"/>
      <c r="B164" s="635" t="s">
        <v>1444</v>
      </c>
      <c r="D164" s="2" t="inlineStr">
        <is>
          <t>☑</t>
        </is>
      </c>
      <c r="F164" s="2" t="inlineStr">
        <is>
          <t>☑</t>
        </is>
      </c>
      <c r="G164" s="2" t="inlineStr">
        <is>
          <t>☑</t>
        </is>
      </c>
      <c r="H164" s="645" t="s">
        <v>995</v>
      </c>
      <c r="I164" s="2" t="inlineStr">
        <is>
          <t>☑</t>
        </is>
      </c>
      <c r="J164" s="2" t="inlineStr">
        <is>
          <t>☑</t>
        </is>
      </c>
      <c r="K164" s="642" t="s">
        <v>134</v>
      </c>
    </row>
    <row r="165" spans="1:11">
      <c r="A165" s="649" t="s"/>
      <c r="B165" s="650" t="s">
        <v>1445</v>
      </c>
      <c r="D165" s="2" t="inlineStr">
        <is>
          <t>☑</t>
        </is>
      </c>
      <c r="F165" s="2" t="inlineStr">
        <is>
          <t>☑</t>
        </is>
      </c>
      <c r="G165" s="2" t="inlineStr">
        <is>
          <t>☑</t>
        </is>
      </c>
      <c r="H165" s="645" t="s">
        <v>1262</v>
      </c>
      <c r="I165" s="2" t="inlineStr">
        <is>
          <t>☑</t>
        </is>
      </c>
      <c r="J165" s="2" t="inlineStr">
        <is>
          <t>☑</t>
        </is>
      </c>
      <c r="K165" s="642" t="s">
        <v>48</v>
      </c>
    </row>
    <row r="166" spans="1:11">
      <c r="A166" s="634" t="s"/>
      <c r="B166" s="635" t="s">
        <v>1446</v>
      </c>
      <c r="D166" s="2" t="inlineStr">
        <is>
          <t>☑</t>
        </is>
      </c>
      <c r="F166" s="2" t="inlineStr">
        <is>
          <t>☑</t>
        </is>
      </c>
      <c r="G166" s="2" t="inlineStr">
        <is>
          <t>☑</t>
        </is>
      </c>
      <c r="H166" s="645">
        <v>5</v>
      </c>
      <c r="I166" s="2" t="inlineStr">
        <is>
          <t>☑</t>
        </is>
      </c>
      <c r="J166" s="2" t="inlineStr">
        <is>
          <t>☑</t>
        </is>
      </c>
      <c r="K166" s="642" t="s">
        <v>134</v>
      </c>
    </row>
    <row r="167" spans="1:11">
      <c r="A167" s="634" t="s"/>
      <c r="B167" s="635" t="s">
        <v>1447</v>
      </c>
      <c r="D167" s="2" t="inlineStr">
        <is>
          <t>☑</t>
        </is>
      </c>
      <c r="E167" s="639" t="s">
        <v>1018</v>
      </c>
      <c r="F167" s="2" t="inlineStr">
        <is>
          <t>☑</t>
        </is>
      </c>
      <c r="G167" s="2" t="inlineStr">
        <is>
          <t>☑</t>
        </is>
      </c>
      <c r="H167" s="645" t="s">
        <v>1018</v>
      </c>
      <c r="I167" s="2" t="inlineStr">
        <is>
          <t>☑</t>
        </is>
      </c>
      <c r="J167" s="2" t="inlineStr">
        <is>
          <t>☑</t>
        </is>
      </c>
      <c r="K167" s="642" t="s">
        <v>277</v>
      </c>
    </row>
    <row r="168" spans="1:11">
      <c r="A168" s="693" t="s"/>
      <c r="B168" s="635" t="s">
        <v>1448</v>
      </c>
      <c r="D168" s="2" t="inlineStr">
        <is>
          <t>☑</t>
        </is>
      </c>
      <c r="F168" s="2" t="inlineStr">
        <is>
          <t>☑</t>
        </is>
      </c>
      <c r="G168" s="2" t="inlineStr">
        <is>
          <t>☑</t>
        </is>
      </c>
      <c r="H168" s="645" t="s">
        <v>1262</v>
      </c>
      <c r="I168" s="2" t="inlineStr">
        <is>
          <t>☑</t>
        </is>
      </c>
      <c r="J168" s="2" t="inlineStr">
        <is>
          <t>☑</t>
        </is>
      </c>
      <c r="K168" s="642" t="s">
        <v>134</v>
      </c>
    </row>
    <row r="169" spans="1:11">
      <c r="A169" s="693" t="s"/>
      <c r="B169" s="635" t="s">
        <v>1449</v>
      </c>
      <c r="D169" s="2" t="inlineStr">
        <is>
          <t>☑</t>
        </is>
      </c>
      <c r="E169" s="645" t="s">
        <v>995</v>
      </c>
      <c r="F169" s="2" t="inlineStr">
        <is>
          <t>☑</t>
        </is>
      </c>
      <c r="G169" s="2" t="inlineStr">
        <is>
          <t>☑</t>
        </is>
      </c>
      <c r="H169" s="645" t="s">
        <v>995</v>
      </c>
      <c r="I169" s="2" t="inlineStr">
        <is>
          <t>☑</t>
        </is>
      </c>
      <c r="J169" s="2" t="inlineStr">
        <is>
          <t>☑</t>
        </is>
      </c>
      <c r="K169" s="642" t="s">
        <v>134</v>
      </c>
    </row>
    <row r="170" spans="1:11">
      <c r="A170" s="693" t="s"/>
      <c r="B170" s="635" t="s">
        <v>1450</v>
      </c>
      <c r="D170" s="2" t="inlineStr">
        <is>
          <t>☑</t>
        </is>
      </c>
      <c r="F170" s="2" t="inlineStr">
        <is>
          <t>☑</t>
        </is>
      </c>
      <c r="G170" s="2" t="inlineStr">
        <is>
          <t>☑</t>
        </is>
      </c>
      <c r="I170" s="2" t="inlineStr">
        <is>
          <t>☑</t>
        </is>
      </c>
      <c r="J170" s="2" t="inlineStr">
        <is>
          <t>☑</t>
        </is>
      </c>
      <c r="K170" s="642" t="s">
        <v>48</v>
      </c>
    </row>
    <row r="171" spans="1:11">
      <c r="A171" s="693" t="s"/>
      <c r="B171" s="635" t="s">
        <v>1451</v>
      </c>
      <c r="D171" s="2" t="inlineStr">
        <is>
          <t>☑</t>
        </is>
      </c>
      <c r="F171" s="2" t="inlineStr">
        <is>
          <t>☑</t>
        </is>
      </c>
      <c r="G171" s="2" t="inlineStr">
        <is>
          <t>☑</t>
        </is>
      </c>
      <c r="H171" s="645" t="s">
        <v>1262</v>
      </c>
      <c r="I171" s="2" t="inlineStr">
        <is>
          <t>☑</t>
        </is>
      </c>
      <c r="J171" s="2" t="inlineStr">
        <is>
          <t>☑</t>
        </is>
      </c>
      <c r="K171" s="642" t="s">
        <v>44</v>
      </c>
    </row>
    <row r="172" spans="1:11">
      <c r="A172" s="693" t="s"/>
      <c r="B172" s="635" t="s">
        <v>1452</v>
      </c>
      <c r="D172" s="2" t="inlineStr">
        <is>
          <t>☑</t>
        </is>
      </c>
      <c r="F172" s="2" t="inlineStr">
        <is>
          <t>☑</t>
        </is>
      </c>
      <c r="G172" s="2" t="inlineStr">
        <is>
          <t>☑</t>
        </is>
      </c>
      <c r="I172" s="2" t="inlineStr">
        <is>
          <t>☑</t>
        </is>
      </c>
      <c r="J172" s="2" t="inlineStr">
        <is>
          <t>☑</t>
        </is>
      </c>
      <c r="K172" s="642" t="s">
        <v>134</v>
      </c>
    </row>
    <row r="173" spans="1:11">
      <c r="A173" s="693" t="s"/>
      <c r="B173" s="635" t="s">
        <v>1453</v>
      </c>
      <c r="D173" s="2" t="inlineStr">
        <is>
          <t>☑</t>
        </is>
      </c>
      <c r="F173" s="2" t="inlineStr">
        <is>
          <t>☑</t>
        </is>
      </c>
      <c r="G173" s="2" t="inlineStr">
        <is>
          <t>☑</t>
        </is>
      </c>
      <c r="I173" s="2" t="inlineStr">
        <is>
          <t>☑</t>
        </is>
      </c>
      <c r="J173" s="2" t="inlineStr">
        <is>
          <t>☑</t>
        </is>
      </c>
      <c r="K173" s="642" t="s">
        <v>44</v>
      </c>
    </row>
    <row r="174" spans="1:11">
      <c r="A174" s="693" t="s"/>
      <c r="B174" s="635" t="s">
        <v>1454</v>
      </c>
      <c r="D174" s="2" t="inlineStr">
        <is>
          <t>☑</t>
        </is>
      </c>
      <c r="F174" s="2" t="inlineStr">
        <is>
          <t>☑</t>
        </is>
      </c>
      <c r="G174" s="2" t="inlineStr">
        <is>
          <t>☑</t>
        </is>
      </c>
      <c r="I174" s="2" t="inlineStr">
        <is>
          <t>☑</t>
        </is>
      </c>
      <c r="J174" s="2" t="inlineStr">
        <is>
          <t>☑</t>
        </is>
      </c>
      <c r="K174" s="642" t="s">
        <v>48</v>
      </c>
    </row>
    <row r="175" spans="1:11">
      <c r="A175" s="693" t="s"/>
      <c r="B175" s="635" t="s">
        <v>1455</v>
      </c>
      <c r="D175" s="2" t="inlineStr">
        <is>
          <t>☑</t>
        </is>
      </c>
      <c r="F175" s="2" t="inlineStr">
        <is>
          <t>☑</t>
        </is>
      </c>
      <c r="G175" s="2" t="inlineStr">
        <is>
          <t>☑</t>
        </is>
      </c>
      <c r="I175" s="2" t="inlineStr">
        <is>
          <t>☑</t>
        </is>
      </c>
      <c r="J175" s="2" t="inlineStr">
        <is>
          <t>☑</t>
        </is>
      </c>
      <c r="K175" s="642" t="s">
        <v>48</v>
      </c>
    </row>
    <row r="176" spans="1:11">
      <c r="A176" s="693" t="s"/>
      <c r="B176" s="635" t="s">
        <v>1456</v>
      </c>
      <c r="D176" s="2" t="inlineStr">
        <is>
          <t>☑</t>
        </is>
      </c>
      <c r="F176" s="2" t="inlineStr">
        <is>
          <t>☑</t>
        </is>
      </c>
      <c r="G176" s="2" t="inlineStr">
        <is>
          <t>☑</t>
        </is>
      </c>
      <c r="I176" s="2" t="inlineStr">
        <is>
          <t>☑</t>
        </is>
      </c>
      <c r="J176" s="2" t="inlineStr">
        <is>
          <t>☑</t>
        </is>
      </c>
      <c r="K176" s="642" t="s">
        <v>112</v>
      </c>
    </row>
    <row r="177" spans="1:11">
      <c r="A177" s="693" t="s"/>
      <c r="B177" s="635" t="s">
        <v>1457</v>
      </c>
      <c r="D177" s="2" t="inlineStr">
        <is>
          <t>☑</t>
        </is>
      </c>
      <c r="F177" s="2" t="inlineStr">
        <is>
          <t>☑</t>
        </is>
      </c>
      <c r="G177" s="2" t="inlineStr">
        <is>
          <t>☑</t>
        </is>
      </c>
      <c r="I177" s="2" t="inlineStr">
        <is>
          <t>☑</t>
        </is>
      </c>
      <c r="J177" s="2" t="inlineStr">
        <is>
          <t>☑</t>
        </is>
      </c>
      <c r="K177" s="642" t="s">
        <v>112</v>
      </c>
    </row>
    <row r="178" spans="1:11">
      <c r="A178" s="693" t="s"/>
      <c r="B178" s="686" t="s">
        <v>1458</v>
      </c>
      <c r="D178" s="2" t="inlineStr">
        <is>
          <t>☑</t>
        </is>
      </c>
      <c r="F178" s="2" t="inlineStr">
        <is>
          <t>☑</t>
        </is>
      </c>
      <c r="G178" s="2" t="inlineStr">
        <is>
          <t>☑</t>
        </is>
      </c>
      <c r="I178" s="2" t="inlineStr">
        <is>
          <t>☑</t>
        </is>
      </c>
      <c r="J178" s="2" t="inlineStr">
        <is>
          <t>☑</t>
        </is>
      </c>
      <c r="K178" s="642" t="s">
        <v>44</v>
      </c>
    </row>
    <row r="179" spans="1:11">
      <c r="A179" s="693" t="s"/>
      <c r="B179" s="635" t="s">
        <v>1459</v>
      </c>
      <c r="D179" s="2" t="inlineStr">
        <is>
          <t>☑</t>
        </is>
      </c>
      <c r="F179" s="2" t="inlineStr">
        <is>
          <t>☑</t>
        </is>
      </c>
      <c r="G179" s="2" t="inlineStr">
        <is>
          <t>☑</t>
        </is>
      </c>
      <c r="I179" s="2" t="inlineStr">
        <is>
          <t>☑</t>
        </is>
      </c>
      <c r="J179" s="2" t="inlineStr">
        <is>
          <t>☑</t>
        </is>
      </c>
      <c r="K179" s="642" t="s">
        <v>44</v>
      </c>
    </row>
    <row r="180" spans="1:11">
      <c r="A180" s="693" t="s"/>
      <c r="B180" s="635" t="s">
        <v>1460</v>
      </c>
      <c r="D180" s="2" t="inlineStr">
        <is>
          <t>☑</t>
        </is>
      </c>
      <c r="F180" s="2" t="inlineStr">
        <is>
          <t>☑</t>
        </is>
      </c>
      <c r="G180" s="2" t="inlineStr">
        <is>
          <t>☑</t>
        </is>
      </c>
      <c r="I180" s="2" t="inlineStr">
        <is>
          <t>☑</t>
        </is>
      </c>
      <c r="J180" s="2" t="inlineStr">
        <is>
          <t>☑</t>
        </is>
      </c>
      <c r="K180" s="642" t="s">
        <v>44</v>
      </c>
    </row>
    <row r="181" spans="1:11">
      <c r="A181" s="694">
        <v>46262</v>
      </c>
      <c r="B181" s="635" t="s">
        <v>1461</v>
      </c>
      <c r="C181" s="645" t="s"/>
      <c r="D181" s="2" t="inlineStr">
        <is>
          <t>☑</t>
        </is>
      </c>
      <c r="F181" s="2" t="inlineStr">
        <is>
          <t>☑</t>
        </is>
      </c>
      <c r="G181" s="2" t="inlineStr">
        <is>
          <t>☑</t>
        </is>
      </c>
      <c r="H181" s="645" t="s">
        <v>1262</v>
      </c>
      <c r="I181" s="2" t="inlineStr">
        <is>
          <t>☑</t>
        </is>
      </c>
      <c r="J181" s="2" t="inlineStr">
        <is>
          <t>☑</t>
        </is>
      </c>
      <c r="K181" s="642" t="s">
        <v>134</v>
      </c>
    </row>
    <row r="182" spans="1:11">
      <c r="A182" s="695" t="s"/>
      <c r="B182" s="650" t="s">
        <v>1462</v>
      </c>
      <c r="D182" s="2" t="inlineStr">
        <is>
          <t>☑</t>
        </is>
      </c>
      <c r="F182" s="2" t="inlineStr">
        <is>
          <t>☑</t>
        </is>
      </c>
      <c r="G182" s="2" t="inlineStr">
        <is>
          <t>☑</t>
        </is>
      </c>
      <c r="H182" s="645">
        <v>5</v>
      </c>
      <c r="I182" s="2" t="inlineStr">
        <is>
          <t>☑</t>
        </is>
      </c>
      <c r="J182" s="2" t="inlineStr">
        <is>
          <t>☑</t>
        </is>
      </c>
      <c r="K182" s="642" t="s">
        <v>48</v>
      </c>
    </row>
    <row r="183" spans="1:11">
      <c r="A183" s="695" t="s"/>
      <c r="B183" s="635" t="s">
        <v>1463</v>
      </c>
      <c r="C183" s="639" t="s">
        <v>1464</v>
      </c>
      <c r="D183" s="2" t="inlineStr">
        <is>
          <t>☑</t>
        </is>
      </c>
      <c r="E183" s="645" t="s">
        <v>995</v>
      </c>
      <c r="F183" s="2" t="inlineStr">
        <is>
          <t>☑</t>
        </is>
      </c>
      <c r="G183" s="2" t="inlineStr">
        <is>
          <t>☑</t>
        </is>
      </c>
      <c r="I183" s="2" t="inlineStr">
        <is>
          <t>☑</t>
        </is>
      </c>
      <c r="J183" s="2" t="inlineStr">
        <is>
          <t>☑</t>
        </is>
      </c>
      <c r="K183" s="642" t="s">
        <v>44</v>
      </c>
    </row>
    <row r="184" spans="2:11">
      <c r="B184" s="635" t="s">
        <v>1465</v>
      </c>
      <c r="C184" s="639" t="s">
        <v>1466</v>
      </c>
      <c r="D184" s="2" t="inlineStr">
        <is>
          <t>☑</t>
        </is>
      </c>
      <c r="E184" s="645" t="s">
        <v>1013</v>
      </c>
      <c r="F184" s="2" t="inlineStr">
        <is>
          <t>☑</t>
        </is>
      </c>
      <c r="G184" s="2" t="inlineStr">
        <is>
          <t>☑</t>
        </is>
      </c>
      <c r="I184" s="2" t="inlineStr">
        <is>
          <t>☑</t>
        </is>
      </c>
      <c r="J184" s="2" t="inlineStr">
        <is>
          <t>☑</t>
        </is>
      </c>
      <c r="K184" s="642" t="s">
        <v>44</v>
      </c>
    </row>
    <row r="185" spans="2:12">
      <c r="B185" s="650" t="s">
        <v>1467</v>
      </c>
      <c r="D185" s="2" t="inlineStr">
        <is>
          <t>☑</t>
        </is>
      </c>
      <c r="F185" s="2" t="inlineStr">
        <is>
          <t>☑</t>
        </is>
      </c>
      <c r="G185" s="2" t="inlineStr">
        <is>
          <t>☑</t>
        </is>
      </c>
      <c r="I185" s="2" t="inlineStr">
        <is>
          <t>☑</t>
        </is>
      </c>
      <c r="J185" s="2" t="inlineStr">
        <is>
          <t>☑</t>
        </is>
      </c>
      <c r="K185" s="642" t="s">
        <v>44</v>
      </c>
      <c r="L185" t="s">
        <v>1468</v>
      </c>
    </row>
    <row r="186" spans="2:11">
      <c r="B186" s="650" t="s">
        <v>1469</v>
      </c>
      <c r="D186" s="2" t="inlineStr">
        <is>
          <t>☑</t>
        </is>
      </c>
      <c r="F186" s="2" t="inlineStr">
        <is>
          <t>☑</t>
        </is>
      </c>
      <c r="G186" s="2" t="inlineStr">
        <is>
          <t>☑</t>
        </is>
      </c>
      <c r="H186" s="645" t="s">
        <v>1018</v>
      </c>
      <c r="I186" s="2" t="inlineStr">
        <is>
          <t>☑</t>
        </is>
      </c>
      <c r="J186" s="2" t="inlineStr">
        <is>
          <t>☑</t>
        </is>
      </c>
      <c r="K186" s="642" t="s">
        <v>44</v>
      </c>
    </row>
    <row r="187" spans="2:11">
      <c r="B187" s="696" t="s">
        <v>1470</v>
      </c>
      <c r="D187" s="2" t="inlineStr">
        <is>
          <t>☑</t>
        </is>
      </c>
      <c r="F187" s="2" t="inlineStr">
        <is>
          <t>☑</t>
        </is>
      </c>
      <c r="G187" s="2" t="inlineStr">
        <is>
          <t>☑</t>
        </is>
      </c>
      <c r="H187" s="692" t="s">
        <v>1041</v>
      </c>
      <c r="I187" s="2" t="inlineStr">
        <is>
          <t>☑</t>
        </is>
      </c>
      <c r="J187" s="2" t="inlineStr">
        <is>
          <t>☑</t>
        </is>
      </c>
      <c r="K187" s="642" t="s">
        <v>1471</v>
      </c>
    </row>
    <row r="188" spans="2:11">
      <c r="B188" s="696" t="s">
        <v>1472</v>
      </c>
      <c r="C188" s="639" t="s">
        <v>1473</v>
      </c>
      <c r="D188" s="2" t="inlineStr">
        <is>
          <t>☑</t>
        </is>
      </c>
      <c r="E188" s="692" t="s">
        <v>1237</v>
      </c>
      <c r="F188" s="2" t="inlineStr">
        <is>
          <t>☐</t>
        </is>
      </c>
      <c r="G188" s="2" t="inlineStr">
        <is>
          <t>☐</t>
        </is>
      </c>
      <c r="I188" s="2" t="inlineStr">
        <is>
          <t>☐</t>
        </is>
      </c>
      <c r="J188" s="2" t="inlineStr">
        <is>
          <t>☐</t>
        </is>
      </c>
      <c r="K188" s="642" t="s">
        <v>379</v>
      </c>
    </row>
    <row r="189" spans="1:11">
      <c r="A189" s="697">
        <v>46265</v>
      </c>
      <c r="B189" s="696" t="s">
        <v>1474</v>
      </c>
      <c r="C189" s="698" t="s"/>
      <c r="D189" s="2" t="inlineStr">
        <is>
          <t>☑</t>
        </is>
      </c>
      <c r="F189" s="2" t="inlineStr">
        <is>
          <t>☑</t>
        </is>
      </c>
      <c r="G189" s="2" t="inlineStr">
        <is>
          <t>☑</t>
        </is>
      </c>
      <c r="H189" s="692">
        <v>4</v>
      </c>
      <c r="I189" s="2" t="inlineStr">
        <is>
          <t>☑</t>
        </is>
      </c>
      <c r="J189" s="2" t="inlineStr">
        <is>
          <t>☑</t>
        </is>
      </c>
      <c r="K189" s="642" t="s">
        <v>48</v>
      </c>
    </row>
    <row r="190" spans="2:11">
      <c r="B190" s="696" t="s">
        <v>1475</v>
      </c>
      <c r="D190" s="2" t="inlineStr">
        <is>
          <t>☑</t>
        </is>
      </c>
      <c r="F190" s="2" t="inlineStr">
        <is>
          <t>☑</t>
        </is>
      </c>
      <c r="G190" s="2" t="inlineStr">
        <is>
          <t>☑</t>
        </is>
      </c>
      <c r="H190" s="692">
        <v>3</v>
      </c>
      <c r="I190" s="2" t="inlineStr">
        <is>
          <t>☑</t>
        </is>
      </c>
      <c r="J190" s="2" t="inlineStr">
        <is>
          <t>☑</t>
        </is>
      </c>
      <c r="K190" s="642" t="s">
        <v>277</v>
      </c>
    </row>
    <row r="191" spans="2:11">
      <c r="B191" s="696" t="s">
        <v>1476</v>
      </c>
      <c r="D191" s="2" t="inlineStr">
        <is>
          <t>☑</t>
        </is>
      </c>
      <c r="F191" s="2" t="inlineStr">
        <is>
          <t>☑</t>
        </is>
      </c>
      <c r="G191" s="2" t="inlineStr">
        <is>
          <t>☑</t>
        </is>
      </c>
      <c r="H191" s="655" t="s">
        <v>1262</v>
      </c>
      <c r="I191" s="2" t="inlineStr">
        <is>
          <t>☑</t>
        </is>
      </c>
      <c r="J191" s="2" t="inlineStr">
        <is>
          <t>☑</t>
        </is>
      </c>
      <c r="K191" s="642" t="s">
        <v>1477</v>
      </c>
    </row>
    <row r="192" spans="1:11">
      <c r="A192" s="697">
        <v>46266</v>
      </c>
      <c r="B192" s="696" t="s">
        <v>1467</v>
      </c>
      <c r="D192" s="2" t="inlineStr">
        <is>
          <t>☑</t>
        </is>
      </c>
      <c r="F192" s="2" t="inlineStr">
        <is>
          <t>☑</t>
        </is>
      </c>
      <c r="G192" s="2" t="inlineStr">
        <is>
          <t>☑</t>
        </is>
      </c>
      <c r="H192" s="692">
        <v>5</v>
      </c>
      <c r="I192" s="2" t="inlineStr">
        <is>
          <t>☑</t>
        </is>
      </c>
      <c r="J192" s="2" t="inlineStr">
        <is>
          <t>☑</t>
        </is>
      </c>
      <c r="K192" s="642" t="s">
        <v>44</v>
      </c>
    </row>
    <row r="193" spans="2:11">
      <c r="B193" s="696" t="s">
        <v>1478</v>
      </c>
      <c r="D193" s="2" t="inlineStr">
        <is>
          <t>☑</t>
        </is>
      </c>
      <c r="E193" s="692">
        <v>4</v>
      </c>
      <c r="F193" s="2" t="inlineStr">
        <is>
          <t>☑</t>
        </is>
      </c>
      <c r="G193" s="2" t="inlineStr">
        <is>
          <t>☑</t>
        </is>
      </c>
      <c r="H193" s="692">
        <v>4</v>
      </c>
      <c r="I193" s="2" t="inlineStr">
        <is>
          <t>☑</t>
        </is>
      </c>
      <c r="J193" s="2" t="inlineStr">
        <is>
          <t>☑</t>
        </is>
      </c>
      <c r="K193" s="642" t="s">
        <v>44</v>
      </c>
    </row>
    <row r="194" spans="1:11">
      <c r="A194" s="639" t="s"/>
      <c r="B194" s="635" t="s">
        <v>1479</v>
      </c>
      <c r="C194" s="639" t="s"/>
      <c r="D194" s="2" t="inlineStr">
        <is>
          <t>☑</t>
        </is>
      </c>
      <c r="E194" s="639" t="s"/>
      <c r="F194" s="2" t="inlineStr">
        <is>
          <t>☑</t>
        </is>
      </c>
      <c r="G194" s="2" t="inlineStr">
        <is>
          <t>☑</t>
        </is>
      </c>
      <c r="H194" s="639">
        <v>5</v>
      </c>
      <c r="I194" s="2" t="inlineStr">
        <is>
          <t>☑</t>
        </is>
      </c>
      <c r="J194" s="2" t="inlineStr">
        <is>
          <t>☑</t>
        </is>
      </c>
      <c r="K194" s="642" t="s">
        <v>1471</v>
      </c>
    </row>
    <row r="195" spans="1:11">
      <c r="A195" s="645" t="s"/>
      <c r="B195" s="650" t="s">
        <v>1480</v>
      </c>
      <c r="C195" s="645" t="s"/>
      <c r="D195" s="2" t="inlineStr">
        <is>
          <t>☑</t>
        </is>
      </c>
      <c r="E195" s="645" t="s"/>
      <c r="F195" s="2" t="inlineStr">
        <is>
          <t>☑</t>
        </is>
      </c>
      <c r="G195" s="2" t="inlineStr">
        <is>
          <t>☑</t>
        </is>
      </c>
      <c r="H195" s="645" t="s">
        <v>995</v>
      </c>
      <c r="I195" s="2" t="inlineStr">
        <is>
          <t>☑</t>
        </is>
      </c>
      <c r="J195" s="2" t="inlineStr">
        <is>
          <t>☑</t>
        </is>
      </c>
      <c r="K195" s="700" t="s">
        <v>54</v>
      </c>
    </row>
    <row r="196" spans="2:11">
      <c r="B196" s="696" t="s">
        <v>1481</v>
      </c>
      <c r="C196" s="645" t="s"/>
      <c r="D196" s="2" t="inlineStr">
        <is>
          <t>☑</t>
        </is>
      </c>
      <c r="E196" s="645" t="s"/>
      <c r="F196" s="2" t="inlineStr">
        <is>
          <t>☑</t>
        </is>
      </c>
      <c r="G196" s="2" t="inlineStr">
        <is>
          <t>☑</t>
        </is>
      </c>
      <c r="H196" s="645" t="s"/>
      <c r="I196" s="2" t="inlineStr">
        <is>
          <t>☑</t>
        </is>
      </c>
      <c r="J196" s="2" t="inlineStr">
        <is>
          <t>☑</t>
        </is>
      </c>
      <c r="K196" s="700" t="s">
        <v>112</v>
      </c>
    </row>
    <row r="197" spans="1:11">
      <c r="A197" s="645" t="s"/>
      <c r="B197" s="650" t="s">
        <v>1482</v>
      </c>
      <c r="C197" s="645" t="s"/>
      <c r="D197" s="2" t="inlineStr">
        <is>
          <t>☑</t>
        </is>
      </c>
      <c r="E197" s="645">
        <v>2</v>
      </c>
      <c r="F197" s="2" t="inlineStr">
        <is>
          <t>☑</t>
        </is>
      </c>
      <c r="G197" s="2" t="inlineStr">
        <is>
          <t>☑</t>
        </is>
      </c>
      <c r="H197" s="645">
        <v>2</v>
      </c>
      <c r="I197" s="2" t="inlineStr">
        <is>
          <t>☐</t>
        </is>
      </c>
      <c r="J197" s="2" t="inlineStr">
        <is>
          <t>☐</t>
        </is>
      </c>
      <c r="K197" s="701" t="s">
        <v>134</v>
      </c>
    </row>
    <row r="198" spans="1:11">
      <c r="A198" s="645" t="s"/>
      <c r="B198" s="650" t="s">
        <v>1483</v>
      </c>
      <c r="C198" s="645" t="s"/>
      <c r="D198" s="2" t="inlineStr">
        <is>
          <t>☑</t>
        </is>
      </c>
      <c r="E198" s="645" t="s"/>
      <c r="F198" s="2" t="inlineStr">
        <is>
          <t>☑</t>
        </is>
      </c>
      <c r="G198" s="2" t="inlineStr">
        <is>
          <t>☑</t>
        </is>
      </c>
      <c r="H198" s="645" t="s">
        <v>1013</v>
      </c>
      <c r="I198" s="2" t="inlineStr">
        <is>
          <t>☑</t>
        </is>
      </c>
      <c r="J198" s="2" t="inlineStr">
        <is>
          <t>☑</t>
        </is>
      </c>
      <c r="K198" s="701" t="s">
        <v>134</v>
      </c>
    </row>
    <row r="199" spans="1:12">
      <c r="A199" s="697">
        <v>46268</v>
      </c>
      <c r="B199" s="650" t="s">
        <v>1484</v>
      </c>
      <c r="C199" s="645" t="s">
        <v>1485</v>
      </c>
      <c r="D199" s="2" t="inlineStr">
        <is>
          <t>☑</t>
        </is>
      </c>
      <c r="E199" s="645">
        <v>4</v>
      </c>
      <c r="F199" s="2" t="inlineStr">
        <is>
          <t>☑</t>
        </is>
      </c>
      <c r="G199" s="2" t="inlineStr">
        <is>
          <t>☑</t>
        </is>
      </c>
      <c r="H199" s="645">
        <v>4</v>
      </c>
      <c r="I199" s="2" t="inlineStr">
        <is>
          <t>☑</t>
        </is>
      </c>
      <c r="J199" s="2" t="inlineStr">
        <is>
          <t>☑</t>
        </is>
      </c>
      <c r="K199" s="701" t="s">
        <v>44</v>
      </c>
      <c r="L199" t="s">
        <v>1486</v>
      </c>
    </row>
    <row r="200" spans="1:11">
      <c r="A200" s="645" t="s"/>
      <c r="B200" s="650" t="s">
        <v>1487</v>
      </c>
      <c r="C200" s="645" t="s">
        <v>1488</v>
      </c>
      <c r="D200" s="2" t="inlineStr">
        <is>
          <t>☑</t>
        </is>
      </c>
      <c r="E200" s="645" t="s"/>
      <c r="F200" s="2" t="inlineStr">
        <is>
          <t>☑</t>
        </is>
      </c>
      <c r="G200" s="2" t="inlineStr">
        <is>
          <t>☑</t>
        </is>
      </c>
      <c r="H200" s="645" t="s">
        <v>1018</v>
      </c>
      <c r="I200" s="2" t="inlineStr">
        <is>
          <t>☑</t>
        </is>
      </c>
      <c r="J200" s="2" t="inlineStr">
        <is>
          <t>☑</t>
        </is>
      </c>
      <c r="K200" s="701" t="s">
        <v>112</v>
      </c>
    </row>
    <row r="201" spans="1:11">
      <c r="A201" s="645" t="s"/>
      <c r="B201" s="650" t="s">
        <v>1489</v>
      </c>
      <c r="C201" s="645" t="s"/>
      <c r="D201" s="2" t="inlineStr">
        <is>
          <t>☑</t>
        </is>
      </c>
      <c r="E201" s="645" t="s"/>
      <c r="F201" s="2" t="inlineStr">
        <is>
          <t>☑</t>
        </is>
      </c>
      <c r="G201" s="2" t="inlineStr">
        <is>
          <t>☑</t>
        </is>
      </c>
      <c r="H201" s="645" t="s">
        <v>1237</v>
      </c>
      <c r="I201" s="2" t="inlineStr">
        <is>
          <t>☑</t>
        </is>
      </c>
      <c r="J201" s="2" t="inlineStr">
        <is>
          <t>☑</t>
        </is>
      </c>
      <c r="K201" s="701" t="s">
        <v>277</v>
      </c>
    </row>
    <row r="202" spans="1:11" ht="15.75" customHeight="1">
      <c r="A202" s="645" t="s"/>
      <c r="B202" s="650" t="s">
        <v>192</v>
      </c>
      <c r="C202" s="645" t="s"/>
      <c r="D202" s="2" t="inlineStr">
        <is>
          <t>☑</t>
        </is>
      </c>
      <c r="E202" s="645" t="s"/>
      <c r="F202" s="2" t="inlineStr">
        <is>
          <t>☑</t>
        </is>
      </c>
      <c r="G202" s="2" t="inlineStr">
        <is>
          <t>☑</t>
        </is>
      </c>
      <c r="H202" s="645" t="s">
        <v>1262</v>
      </c>
      <c r="I202" s="2" t="inlineStr">
        <is>
          <t>☑</t>
        </is>
      </c>
      <c r="J202" s="2" t="inlineStr">
        <is>
          <t>☑</t>
        </is>
      </c>
      <c r="K202" s="701" t="s">
        <v>134</v>
      </c>
    </row>
    <row r="203" spans="1:11">
      <c r="A203" s="645" t="s"/>
      <c r="B203" s="650" t="s">
        <v>1490</v>
      </c>
      <c r="C203" s="645" t="s"/>
      <c r="D203" s="2" t="inlineStr">
        <is>
          <t>☑</t>
        </is>
      </c>
      <c r="E203" s="645" t="s"/>
      <c r="F203" s="2" t="inlineStr">
        <is>
          <t>☑</t>
        </is>
      </c>
      <c r="G203" s="2" t="inlineStr">
        <is>
          <t>☑</t>
        </is>
      </c>
      <c r="H203" s="645" t="s">
        <v>1018</v>
      </c>
      <c r="I203" s="2" t="inlineStr">
        <is>
          <t>☑</t>
        </is>
      </c>
      <c r="J203" s="2" t="inlineStr">
        <is>
          <t>☑</t>
        </is>
      </c>
      <c r="K203" s="701" t="s">
        <v>54</v>
      </c>
    </row>
    <row r="204" spans="1:11">
      <c r="A204" s="645" t="s"/>
      <c r="B204" s="650" t="s">
        <v>1491</v>
      </c>
      <c r="C204" s="645" t="s"/>
      <c r="D204" s="2" t="inlineStr">
        <is>
          <t>☑</t>
        </is>
      </c>
      <c r="E204" s="645" t="s"/>
      <c r="F204" s="2" t="inlineStr">
        <is>
          <t>☑</t>
        </is>
      </c>
      <c r="G204" s="2" t="inlineStr">
        <is>
          <t>☑</t>
        </is>
      </c>
      <c r="H204" s="645" t="s">
        <v>995</v>
      </c>
      <c r="I204" s="2" t="inlineStr">
        <is>
          <t>☑</t>
        </is>
      </c>
      <c r="J204" s="2" t="inlineStr">
        <is>
          <t>☑</t>
        </is>
      </c>
      <c r="K204" s="701" t="s">
        <v>134</v>
      </c>
    </row>
    <row r="205" spans="1:11">
      <c r="A205" s="645" t="s"/>
      <c r="B205" s="650" t="s">
        <v>1492</v>
      </c>
      <c r="C205" s="645" t="s"/>
      <c r="D205" s="2" t="inlineStr">
        <is>
          <t>☑</t>
        </is>
      </c>
      <c r="E205" s="645">
        <v>3</v>
      </c>
      <c r="F205" s="2" t="inlineStr">
        <is>
          <t>☑</t>
        </is>
      </c>
      <c r="G205" s="2" t="inlineStr">
        <is>
          <t>☑</t>
        </is>
      </c>
      <c r="H205" s="645" t="s"/>
      <c r="I205" s="2" t="inlineStr">
        <is>
          <t>☑</t>
        </is>
      </c>
      <c r="J205" s="2" t="inlineStr">
        <is>
          <t>☑</t>
        </is>
      </c>
      <c r="K205" s="701" t="s">
        <v>134</v>
      </c>
    </row>
    <row r="206" spans="1:11">
      <c r="A206" s="645" t="s"/>
      <c r="B206" s="650" t="s">
        <v>1493</v>
      </c>
      <c r="C206" s="645" t="s"/>
      <c r="D206" s="2" t="inlineStr">
        <is>
          <t>☑</t>
        </is>
      </c>
      <c r="E206" s="645" t="s"/>
      <c r="F206" s="2" t="inlineStr">
        <is>
          <t>☑</t>
        </is>
      </c>
      <c r="G206" s="2" t="inlineStr">
        <is>
          <t>☑</t>
        </is>
      </c>
      <c r="H206" s="645" t="s">
        <v>1262</v>
      </c>
      <c r="I206" s="2" t="inlineStr">
        <is>
          <t>☑</t>
        </is>
      </c>
      <c r="J206" s="2" t="inlineStr">
        <is>
          <t>☑</t>
        </is>
      </c>
      <c r="K206" s="701" t="s">
        <v>134</v>
      </c>
    </row>
    <row r="207" spans="1:11">
      <c r="A207" s="645" t="s"/>
      <c r="B207" s="650" t="s">
        <v>1494</v>
      </c>
      <c r="C207" s="645" t="s"/>
      <c r="D207" s="2" t="inlineStr">
        <is>
          <t>☑</t>
        </is>
      </c>
      <c r="E207" s="645">
        <v>4</v>
      </c>
      <c r="F207" s="2" t="inlineStr">
        <is>
          <t>☑</t>
        </is>
      </c>
      <c r="G207" s="2" t="inlineStr">
        <is>
          <t>☑</t>
        </is>
      </c>
      <c r="H207" s="645" t="s">
        <v>995</v>
      </c>
      <c r="I207" s="2" t="inlineStr">
        <is>
          <t>☑</t>
        </is>
      </c>
      <c r="J207" s="2" t="inlineStr">
        <is>
          <t>☑</t>
        </is>
      </c>
      <c r="K207" s="701" t="s">
        <v>1471</v>
      </c>
    </row>
    <row r="208" spans="1:11">
      <c r="A208" s="645" t="s"/>
      <c r="B208" s="650" t="s"/>
      <c r="C208" s="645" t="s">
        <v>1495</v>
      </c>
      <c r="D208" s="2" t="inlineStr">
        <is>
          <t>☑</t>
        </is>
      </c>
      <c r="E208" s="645">
        <v>2</v>
      </c>
      <c r="F208" s="2" t="inlineStr">
        <is>
          <t>☑</t>
        </is>
      </c>
      <c r="G208" s="2" t="inlineStr">
        <is>
          <t>☑</t>
        </is>
      </c>
      <c r="H208" s="645">
        <v>2</v>
      </c>
      <c r="I208" s="2" t="inlineStr">
        <is>
          <t>☐</t>
        </is>
      </c>
      <c r="J208" s="2" t="inlineStr">
        <is>
          <t>☐</t>
        </is>
      </c>
      <c r="K208" s="701" t="s">
        <v>134</v>
      </c>
    </row>
    <row r="209" spans="1:12">
      <c r="A209" s="645" t="s"/>
      <c r="B209" s="650" t="s">
        <v>1496</v>
      </c>
      <c r="C209" s="645" t="s"/>
      <c r="D209" s="2" t="inlineStr">
        <is>
          <t>☑</t>
        </is>
      </c>
      <c r="E209" s="645" t="s"/>
      <c r="F209" s="2" t="inlineStr">
        <is>
          <t>☑</t>
        </is>
      </c>
      <c r="G209" s="2" t="inlineStr">
        <is>
          <t>☑</t>
        </is>
      </c>
      <c r="H209" s="645">
        <v>5</v>
      </c>
      <c r="I209" s="2" t="inlineStr">
        <is>
          <t>☑</t>
        </is>
      </c>
      <c r="J209" s="2" t="inlineStr">
        <is>
          <t>☑</t>
        </is>
      </c>
      <c r="K209" s="701" t="s">
        <v>48</v>
      </c>
      <c r="L209" t="s">
        <v>1497</v>
      </c>
    </row>
    <row r="210" spans="1:11">
      <c r="A210" s="697">
        <v>46272</v>
      </c>
      <c r="B210" s="650" t="s">
        <v>1498</v>
      </c>
      <c r="C210" s="645" t="s">
        <v>1499</v>
      </c>
      <c r="D210" s="2" t="inlineStr">
        <is>
          <t>☑</t>
        </is>
      </c>
      <c r="E210" s="645">
        <v>4</v>
      </c>
      <c r="F210" s="2" t="inlineStr">
        <is>
          <t>☑</t>
        </is>
      </c>
      <c r="G210" s="2" t="inlineStr">
        <is>
          <t>☑</t>
        </is>
      </c>
      <c r="H210" s="645" t="s"/>
      <c r="I210" s="2" t="inlineStr">
        <is>
          <t>☑</t>
        </is>
      </c>
      <c r="J210" s="2" t="inlineStr">
        <is>
          <t>☑</t>
        </is>
      </c>
      <c r="K210" s="701" t="s">
        <v>134</v>
      </c>
    </row>
    <row r="211" spans="1:11">
      <c r="A211" s="645" t="s"/>
      <c r="B211" s="650" t="s">
        <v>1500</v>
      </c>
      <c r="C211" s="645" t="s"/>
      <c r="D211" s="2" t="inlineStr">
        <is>
          <t>☑</t>
        </is>
      </c>
      <c r="E211" s="645" t="s"/>
      <c r="F211" s="2" t="inlineStr">
        <is>
          <t>☑</t>
        </is>
      </c>
      <c r="G211" s="2" t="inlineStr">
        <is>
          <t>☑</t>
        </is>
      </c>
      <c r="H211" s="645" t="s">
        <v>1271</v>
      </c>
      <c r="I211" s="2" t="inlineStr">
        <is>
          <t>☑</t>
        </is>
      </c>
      <c r="J211" s="2" t="inlineStr">
        <is>
          <t>☑</t>
        </is>
      </c>
      <c r="K211" s="701" t="s">
        <v>44</v>
      </c>
    </row>
    <row r="212" spans="1:11">
      <c r="A212" s="645" t="s"/>
      <c r="B212" s="650" t="s">
        <v>1501</v>
      </c>
      <c r="C212" s="645" t="s"/>
      <c r="D212" s="2" t="inlineStr">
        <is>
          <t>☑</t>
        </is>
      </c>
      <c r="E212" s="645" t="s"/>
      <c r="F212" s="2" t="inlineStr">
        <is>
          <t>☑</t>
        </is>
      </c>
      <c r="G212" s="2" t="inlineStr">
        <is>
          <t>☑</t>
        </is>
      </c>
      <c r="H212" s="645" t="s">
        <v>995</v>
      </c>
      <c r="I212" s="2" t="inlineStr">
        <is>
          <t>☑</t>
        </is>
      </c>
      <c r="J212" s="2" t="inlineStr">
        <is>
          <t>☑</t>
        </is>
      </c>
      <c r="K212" s="701" t="s">
        <v>277</v>
      </c>
    </row>
    <row r="213" spans="1:11">
      <c r="A213" s="645" t="s"/>
      <c r="B213" s="650" t="s">
        <v>1502</v>
      </c>
      <c r="C213" s="645" t="s"/>
      <c r="D213" s="2" t="inlineStr">
        <is>
          <t>☑</t>
        </is>
      </c>
      <c r="E213" s="645" t="s"/>
      <c r="F213" s="2" t="inlineStr">
        <is>
          <t>☑</t>
        </is>
      </c>
      <c r="G213" s="2" t="inlineStr">
        <is>
          <t>☑</t>
        </is>
      </c>
      <c r="H213" s="645" t="s">
        <v>1271</v>
      </c>
      <c r="I213" s="2" t="inlineStr">
        <is>
          <t>☑</t>
        </is>
      </c>
      <c r="J213" s="2" t="inlineStr">
        <is>
          <t>☑</t>
        </is>
      </c>
      <c r="K213" s="701" t="s">
        <v>277</v>
      </c>
    </row>
    <row r="214" spans="1:11">
      <c r="A214" s="645" t="s"/>
      <c r="B214" s="650" t="s">
        <v>1503</v>
      </c>
      <c r="C214" s="645" t="s"/>
      <c r="D214" s="2" t="inlineStr">
        <is>
          <t>☑</t>
        </is>
      </c>
      <c r="E214" s="645" t="s"/>
      <c r="F214" s="2" t="inlineStr">
        <is>
          <t>☑</t>
        </is>
      </c>
      <c r="G214" s="2" t="inlineStr">
        <is>
          <t>☑</t>
        </is>
      </c>
      <c r="H214" s="645">
        <v>3</v>
      </c>
      <c r="I214" s="2" t="inlineStr">
        <is>
          <t>☑</t>
        </is>
      </c>
      <c r="J214" s="2" t="inlineStr">
        <is>
          <t>☑</t>
        </is>
      </c>
      <c r="K214" s="701" t="s">
        <v>277</v>
      </c>
    </row>
    <row r="215" spans="1:11">
      <c r="A215" s="645" t="s"/>
      <c r="B215" s="650" t="s">
        <v>1504</v>
      </c>
      <c r="C215" s="645" t="s">
        <v>1505</v>
      </c>
      <c r="D215" s="2" t="inlineStr">
        <is>
          <t>☑</t>
        </is>
      </c>
      <c r="E215" s="645" t="s"/>
      <c r="F215" s="2" t="inlineStr">
        <is>
          <t>☑</t>
        </is>
      </c>
      <c r="G215" s="2" t="inlineStr">
        <is>
          <t>☑</t>
        </is>
      </c>
      <c r="H215" s="645" t="s">
        <v>995</v>
      </c>
      <c r="I215" s="2" t="inlineStr">
        <is>
          <t>☑</t>
        </is>
      </c>
      <c r="J215" s="2" t="inlineStr">
        <is>
          <t>☑</t>
        </is>
      </c>
      <c r="K215" s="701" t="s">
        <v>112</v>
      </c>
    </row>
    <row r="216" spans="1:11">
      <c r="A216" s="645" t="s"/>
      <c r="B216" s="650" t="s">
        <v>1506</v>
      </c>
      <c r="C216" s="645" t="s"/>
      <c r="D216" s="2" t="inlineStr">
        <is>
          <t>☑</t>
        </is>
      </c>
      <c r="E216" s="645" t="s"/>
      <c r="F216" s="2" t="inlineStr">
        <is>
          <t>☑</t>
        </is>
      </c>
      <c r="G216" s="2" t="inlineStr">
        <is>
          <t>☑</t>
        </is>
      </c>
      <c r="H216" s="645" t="s">
        <v>1262</v>
      </c>
      <c r="I216" s="2" t="inlineStr">
        <is>
          <t>☑</t>
        </is>
      </c>
      <c r="J216" s="2" t="inlineStr">
        <is>
          <t>☑</t>
        </is>
      </c>
      <c r="K216" s="701" t="s">
        <v>134</v>
      </c>
    </row>
    <row r="217" spans="1:11">
      <c r="A217" s="702">
        <v>46273</v>
      </c>
      <c r="B217" s="650" t="s">
        <v>1507</v>
      </c>
      <c r="C217" s="645" t="s"/>
      <c r="D217" s="2" t="inlineStr">
        <is>
          <t>☑</t>
        </is>
      </c>
      <c r="E217" s="645" t="s"/>
      <c r="F217" s="2" t="inlineStr">
        <is>
          <t>☑</t>
        </is>
      </c>
      <c r="G217" s="2" t="inlineStr">
        <is>
          <t>☑</t>
        </is>
      </c>
      <c r="H217" s="645">
        <v>3</v>
      </c>
      <c r="I217" s="2" t="inlineStr">
        <is>
          <t>☑</t>
        </is>
      </c>
      <c r="J217" s="2" t="inlineStr">
        <is>
          <t>☑</t>
        </is>
      </c>
      <c r="K217" s="701" t="s">
        <v>44</v>
      </c>
    </row>
    <row r="218" spans="1:11">
      <c r="A218" s="645" t="s"/>
      <c r="B218" s="650" t="s">
        <v>1508</v>
      </c>
      <c r="C218" s="645" t="s"/>
      <c r="D218" s="2" t="inlineStr">
        <is>
          <t>☑</t>
        </is>
      </c>
      <c r="E218" s="645" t="s"/>
      <c r="F218" s="2" t="inlineStr">
        <is>
          <t>☑</t>
        </is>
      </c>
      <c r="G218" s="2" t="inlineStr">
        <is>
          <t>☑</t>
        </is>
      </c>
      <c r="H218" s="645">
        <v>3</v>
      </c>
      <c r="I218" s="2" t="inlineStr">
        <is>
          <t>☑</t>
        </is>
      </c>
      <c r="J218" s="2" t="inlineStr">
        <is>
          <t>☑</t>
        </is>
      </c>
      <c r="K218" s="701" t="s">
        <v>44</v>
      </c>
    </row>
    <row r="219" spans="1:11">
      <c r="A219" s="645" t="s"/>
      <c r="B219" s="650" t="s">
        <v>1509</v>
      </c>
      <c r="C219" s="645" t="s">
        <v>1510</v>
      </c>
      <c r="D219" s="2" t="inlineStr">
        <is>
          <t>☑</t>
        </is>
      </c>
      <c r="E219" s="645">
        <v>4</v>
      </c>
      <c r="F219" s="2" t="inlineStr">
        <is>
          <t>☑</t>
        </is>
      </c>
      <c r="G219" s="2" t="inlineStr">
        <is>
          <t>☑</t>
        </is>
      </c>
      <c r="H219" s="645">
        <v>4</v>
      </c>
      <c r="I219" s="2" t="inlineStr">
        <is>
          <t>☑</t>
        </is>
      </c>
      <c r="J219" s="2" t="inlineStr">
        <is>
          <t>☑</t>
        </is>
      </c>
      <c r="K219" s="701" t="s">
        <v>44</v>
      </c>
    </row>
    <row r="220" spans="1:11">
      <c r="A220" s="645" t="s"/>
      <c r="B220" s="650" t="s">
        <v>1511</v>
      </c>
      <c r="C220" s="645" t="s"/>
      <c r="D220" s="2" t="inlineStr">
        <is>
          <t>☑</t>
        </is>
      </c>
      <c r="E220" s="645" t="s"/>
      <c r="F220" s="2" t="inlineStr">
        <is>
          <t>☑</t>
        </is>
      </c>
      <c r="G220" s="2" t="inlineStr">
        <is>
          <t>☑</t>
        </is>
      </c>
      <c r="H220" s="645">
        <v>2</v>
      </c>
      <c r="I220" s="2" t="inlineStr">
        <is>
          <t>☑</t>
        </is>
      </c>
      <c r="J220" s="2" t="inlineStr">
        <is>
          <t>☑</t>
        </is>
      </c>
      <c r="K220" s="701" t="s">
        <v>48</v>
      </c>
    </row>
    <row r="221" spans="1:11">
      <c r="A221" s="702">
        <v>46274</v>
      </c>
      <c r="B221" s="650" t="s">
        <v>1512</v>
      </c>
      <c r="C221" s="645" t="s"/>
      <c r="D221" s="2" t="inlineStr">
        <is>
          <t>☑</t>
        </is>
      </c>
      <c r="E221" s="645" t="s"/>
      <c r="F221" s="2" t="inlineStr">
        <is>
          <t>☑</t>
        </is>
      </c>
      <c r="G221" s="2" t="inlineStr">
        <is>
          <t>☑</t>
        </is>
      </c>
      <c r="H221" s="645" t="s">
        <v>1013</v>
      </c>
      <c r="I221" s="2" t="inlineStr">
        <is>
          <t>☑</t>
        </is>
      </c>
      <c r="J221" s="2" t="inlineStr">
        <is>
          <t>☑</t>
        </is>
      </c>
      <c r="K221" s="701" t="s">
        <v>112</v>
      </c>
    </row>
    <row r="222" spans="1:11">
      <c r="A222" s="645" t="s"/>
      <c r="B222" s="650" t="s">
        <v>45</v>
      </c>
      <c r="C222" s="645" t="s"/>
      <c r="D222" s="2" t="inlineStr">
        <is>
          <t>☑</t>
        </is>
      </c>
      <c r="E222" s="645" t="s"/>
      <c r="F222" s="2" t="inlineStr">
        <is>
          <t>☑</t>
        </is>
      </c>
      <c r="G222" s="2" t="inlineStr">
        <is>
          <t>☑</t>
        </is>
      </c>
      <c r="H222" s="645" t="s">
        <v>1271</v>
      </c>
      <c r="I222" s="2" t="inlineStr">
        <is>
          <t>☑</t>
        </is>
      </c>
      <c r="J222" s="2" t="inlineStr">
        <is>
          <t>☑</t>
        </is>
      </c>
      <c r="K222" s="701" t="s">
        <v>48</v>
      </c>
    </row>
    <row r="223" spans="1:11">
      <c r="A223" s="645" t="s"/>
      <c r="B223" s="650" t="s">
        <v>210</v>
      </c>
      <c r="C223" s="645" t="s"/>
      <c r="D223" s="2" t="inlineStr">
        <is>
          <t>☑</t>
        </is>
      </c>
      <c r="E223" s="645" t="s"/>
      <c r="F223" s="2" t="inlineStr">
        <is>
          <t>☑</t>
        </is>
      </c>
      <c r="G223" s="2" t="inlineStr">
        <is>
          <t>☑</t>
        </is>
      </c>
      <c r="H223" s="645" t="s">
        <v>1018</v>
      </c>
      <c r="I223" s="2" t="inlineStr">
        <is>
          <t>☑</t>
        </is>
      </c>
      <c r="J223" s="2" t="inlineStr">
        <is>
          <t>☑</t>
        </is>
      </c>
      <c r="K223" s="701" t="s">
        <v>134</v>
      </c>
    </row>
    <row r="224" spans="1:11">
      <c r="A224" s="645" t="s"/>
      <c r="B224" s="650" t="s">
        <v>1513</v>
      </c>
      <c r="C224" s="645" t="s"/>
      <c r="D224" s="2" t="inlineStr">
        <is>
          <t>☑</t>
        </is>
      </c>
      <c r="E224" s="645" t="s"/>
      <c r="F224" s="2" t="inlineStr">
        <is>
          <t>☑</t>
        </is>
      </c>
      <c r="G224" s="2" t="inlineStr">
        <is>
          <t>☑</t>
        </is>
      </c>
      <c r="H224" s="645" t="s"/>
      <c r="I224" s="2" t="inlineStr">
        <is>
          <t>☑</t>
        </is>
      </c>
      <c r="J224" s="2" t="inlineStr">
        <is>
          <t>☑</t>
        </is>
      </c>
      <c r="K224" s="701" t="s">
        <v>44</v>
      </c>
    </row>
    <row r="225" spans="1:11">
      <c r="A225" s="645" t="s"/>
      <c r="B225" s="650" t="s">
        <v>1512</v>
      </c>
      <c r="C225" s="645" t="s"/>
      <c r="D225" s="2" t="inlineStr">
        <is>
          <t>☑</t>
        </is>
      </c>
      <c r="E225" s="645" t="s"/>
      <c r="F225" s="2" t="inlineStr">
        <is>
          <t>☑</t>
        </is>
      </c>
      <c r="G225" s="2" t="inlineStr">
        <is>
          <t>☑</t>
        </is>
      </c>
      <c r="H225" s="645" t="s"/>
      <c r="I225" s="2" t="inlineStr">
        <is>
          <t>☑</t>
        </is>
      </c>
      <c r="J225" s="2" t="inlineStr">
        <is>
          <t>☑</t>
        </is>
      </c>
      <c r="K225" s="701" t="s">
        <v>112</v>
      </c>
    </row>
    <row r="226" spans="1:11">
      <c r="A226" s="645" t="s"/>
      <c r="B226" s="703" t="s">
        <v>1514</v>
      </c>
      <c r="C226" s="645" t="s"/>
      <c r="D226" s="2" t="inlineStr">
        <is>
          <t>☑</t>
        </is>
      </c>
      <c r="E226" s="645" t="s"/>
      <c r="F226" s="2" t="inlineStr">
        <is>
          <t>☑</t>
        </is>
      </c>
      <c r="G226" s="2" t="inlineStr">
        <is>
          <t>☑</t>
        </is>
      </c>
      <c r="H226" s="645" t="s">
        <v>1238</v>
      </c>
      <c r="I226" s="2" t="inlineStr">
        <is>
          <t>☑</t>
        </is>
      </c>
      <c r="J226" s="2" t="inlineStr">
        <is>
          <t>☑</t>
        </is>
      </c>
      <c r="K226" s="701" t="s">
        <v>277</v>
      </c>
    </row>
    <row r="227" spans="1:11">
      <c r="A227" s="702">
        <v>46275</v>
      </c>
      <c r="B227" s="650" t="s">
        <v>1515</v>
      </c>
      <c r="C227" s="645" t="s"/>
      <c r="D227" s="2" t="inlineStr">
        <is>
          <t>☑</t>
        </is>
      </c>
      <c r="E227" s="645" t="s">
        <v>1013</v>
      </c>
      <c r="F227" s="2" t="inlineStr">
        <is>
          <t>☑</t>
        </is>
      </c>
      <c r="G227" s="2" t="inlineStr">
        <is>
          <t>☑</t>
        </is>
      </c>
      <c r="H227" s="645" t="s">
        <v>1013</v>
      </c>
      <c r="I227" s="2" t="inlineStr">
        <is>
          <t>☑</t>
        </is>
      </c>
      <c r="J227" s="2" t="inlineStr">
        <is>
          <t>☑</t>
        </is>
      </c>
      <c r="K227" s="701" t="s">
        <v>48</v>
      </c>
    </row>
    <row r="228" spans="1:11">
      <c r="A228" s="645" t="s"/>
      <c r="B228" s="650" t="s">
        <v>1516</v>
      </c>
      <c r="C228" s="645" t="s"/>
      <c r="D228" s="2" t="inlineStr">
        <is>
          <t>☑</t>
        </is>
      </c>
      <c r="E228" s="645" t="s"/>
      <c r="F228" s="2" t="inlineStr">
        <is>
          <t>☑</t>
        </is>
      </c>
      <c r="G228" s="2" t="inlineStr">
        <is>
          <t>☑</t>
        </is>
      </c>
      <c r="H228" s="645" t="s"/>
      <c r="I228" s="2" t="inlineStr">
        <is>
          <t>☑</t>
        </is>
      </c>
      <c r="J228" s="2" t="inlineStr">
        <is>
          <t>☑</t>
        </is>
      </c>
      <c r="K228" s="701" t="s">
        <v>134</v>
      </c>
    </row>
    <row r="229" spans="1:11">
      <c r="A229" s="645" t="s"/>
      <c r="B229" s="650" t="s">
        <v>1517</v>
      </c>
      <c r="C229" s="645" t="s"/>
      <c r="D229" s="2" t="inlineStr">
        <is>
          <t>☑</t>
        </is>
      </c>
      <c r="E229" s="645" t="s"/>
      <c r="F229" s="2" t="inlineStr">
        <is>
          <t>☑</t>
        </is>
      </c>
      <c r="G229" s="2" t="inlineStr">
        <is>
          <t>☑</t>
        </is>
      </c>
      <c r="H229" s="645" t="s"/>
      <c r="I229" s="2" t="inlineStr">
        <is>
          <t>☑</t>
        </is>
      </c>
      <c r="J229" s="2" t="inlineStr">
        <is>
          <t>☑</t>
        </is>
      </c>
      <c r="K229" s="701" t="s">
        <v>277</v>
      </c>
    </row>
    <row r="230" spans="1:11">
      <c r="A230" s="645" t="s"/>
      <c r="B230" s="650" t="s">
        <v>1518</v>
      </c>
      <c r="C230" s="645" t="s"/>
      <c r="D230" s="2" t="inlineStr">
        <is>
          <t>☑</t>
        </is>
      </c>
      <c r="E230" s="645" t="s"/>
      <c r="F230" s="2" t="inlineStr">
        <is>
          <t>☑</t>
        </is>
      </c>
      <c r="G230" s="2" t="inlineStr">
        <is>
          <t>☑</t>
        </is>
      </c>
      <c r="H230" s="645" t="s"/>
      <c r="I230" s="2" t="inlineStr">
        <is>
          <t>☑</t>
        </is>
      </c>
      <c r="J230" s="2" t="inlineStr">
        <is>
          <t>☑</t>
        </is>
      </c>
      <c r="K230" s="701" t="s">
        <v>48</v>
      </c>
    </row>
    <row r="231" spans="1:11">
      <c r="A231" s="645" t="s"/>
      <c r="B231" s="650" t="s">
        <v>58</v>
      </c>
      <c r="C231" s="645" t="s"/>
      <c r="D231" s="2" t="inlineStr">
        <is>
          <t>☑</t>
        </is>
      </c>
      <c r="E231" s="645" t="s"/>
      <c r="F231" s="2" t="inlineStr">
        <is>
          <t>☑</t>
        </is>
      </c>
      <c r="G231" s="2" t="inlineStr">
        <is>
          <t>☑</t>
        </is>
      </c>
      <c r="H231" s="645" t="s"/>
      <c r="I231" s="2" t="inlineStr">
        <is>
          <t>☑</t>
        </is>
      </c>
      <c r="J231" s="2" t="inlineStr">
        <is>
          <t>☑</t>
        </is>
      </c>
      <c r="K231" s="701" t="s">
        <v>54</v>
      </c>
    </row>
    <row r="232" spans="1:11">
      <c r="A232" s="645" t="s"/>
      <c r="B232" s="650" t="s">
        <v>55</v>
      </c>
      <c r="C232" s="645" t="s"/>
      <c r="D232" s="2" t="inlineStr">
        <is>
          <t>☑</t>
        </is>
      </c>
      <c r="E232" s="645" t="s"/>
      <c r="F232" s="2" t="inlineStr">
        <is>
          <t>☑</t>
        </is>
      </c>
      <c r="G232" s="2" t="inlineStr">
        <is>
          <t>☑</t>
        </is>
      </c>
      <c r="H232" s="645" t="s"/>
      <c r="I232" s="2" t="inlineStr">
        <is>
          <t>☑</t>
        </is>
      </c>
      <c r="J232" s="2" t="inlineStr">
        <is>
          <t>☑</t>
        </is>
      </c>
      <c r="K232" s="701" t="s">
        <v>54</v>
      </c>
    </row>
    <row r="233" spans="1:11">
      <c r="A233" s="645" t="s"/>
      <c r="B233" s="650" t="s">
        <v>51</v>
      </c>
      <c r="C233" s="645" t="s"/>
      <c r="D233" s="2" t="inlineStr">
        <is>
          <t>☑</t>
        </is>
      </c>
      <c r="E233" s="645" t="s"/>
      <c r="F233" s="2" t="inlineStr">
        <is>
          <t>☑</t>
        </is>
      </c>
      <c r="G233" s="2" t="inlineStr">
        <is>
          <t>☑</t>
        </is>
      </c>
      <c r="H233" s="645" t="s"/>
      <c r="I233" s="2" t="inlineStr">
        <is>
          <t>☑</t>
        </is>
      </c>
      <c r="J233" s="2" t="inlineStr">
        <is>
          <t>☑</t>
        </is>
      </c>
      <c r="K233" s="701" t="s">
        <v>54</v>
      </c>
    </row>
    <row r="234" spans="1:11">
      <c r="A234" s="702">
        <v>46276</v>
      </c>
      <c r="B234" s="650" t="s">
        <v>1519</v>
      </c>
      <c r="C234" s="645" t="s"/>
      <c r="D234" s="2" t="inlineStr">
        <is>
          <t>☑</t>
        </is>
      </c>
      <c r="E234" s="645" t="s"/>
      <c r="F234" s="2" t="inlineStr">
        <is>
          <t>☑</t>
        </is>
      </c>
      <c r="G234" s="2" t="inlineStr">
        <is>
          <t>☑</t>
        </is>
      </c>
      <c r="H234" s="645" t="s">
        <v>1262</v>
      </c>
      <c r="I234" s="2" t="inlineStr">
        <is>
          <t>☑</t>
        </is>
      </c>
      <c r="J234" s="2" t="inlineStr">
        <is>
          <t>☑</t>
        </is>
      </c>
      <c r="K234" s="701" t="s">
        <v>48</v>
      </c>
    </row>
    <row r="235" spans="1:11">
      <c r="A235" s="645" t="s"/>
      <c r="B235" s="650" t="s">
        <v>1520</v>
      </c>
      <c r="C235" s="645" t="s"/>
      <c r="D235" s="2" t="inlineStr">
        <is>
          <t>☑</t>
        </is>
      </c>
      <c r="E235" s="645" t="s"/>
      <c r="F235" s="2" t="inlineStr">
        <is>
          <t>☑</t>
        </is>
      </c>
      <c r="G235" s="2" t="inlineStr">
        <is>
          <t>☑</t>
        </is>
      </c>
      <c r="H235" s="645">
        <v>3</v>
      </c>
      <c r="I235" s="2" t="inlineStr">
        <is>
          <t>☑</t>
        </is>
      </c>
      <c r="J235" s="2" t="inlineStr">
        <is>
          <t>☑</t>
        </is>
      </c>
      <c r="K235" s="701" t="s">
        <v>48</v>
      </c>
    </row>
    <row r="236" spans="1:11">
      <c r="A236" s="645" t="s"/>
      <c r="B236" s="650" t="s">
        <v>1521</v>
      </c>
      <c r="C236" s="645" t="s"/>
      <c r="D236" s="2" t="inlineStr">
        <is>
          <t>☑</t>
        </is>
      </c>
      <c r="E236" s="645" t="s"/>
      <c r="F236" s="2" t="inlineStr">
        <is>
          <t>☑</t>
        </is>
      </c>
      <c r="G236" s="2" t="inlineStr">
        <is>
          <t>☑</t>
        </is>
      </c>
      <c r="H236" s="645">
        <v>4</v>
      </c>
      <c r="I236" s="2" t="inlineStr">
        <is>
          <t>☑</t>
        </is>
      </c>
      <c r="J236" s="2" t="inlineStr">
        <is>
          <t>☑</t>
        </is>
      </c>
      <c r="K236" s="701" t="s">
        <v>134</v>
      </c>
    </row>
    <row r="237" spans="1:11">
      <c r="A237" s="645" t="s"/>
      <c r="B237" s="650" t="s">
        <v>1522</v>
      </c>
      <c r="C237" s="645" t="s"/>
      <c r="D237" s="2" t="inlineStr">
        <is>
          <t>☑</t>
        </is>
      </c>
      <c r="E237" s="645" t="s"/>
      <c r="F237" s="2" t="inlineStr">
        <is>
          <t>☑</t>
        </is>
      </c>
      <c r="G237" s="2" t="inlineStr">
        <is>
          <t>☑</t>
        </is>
      </c>
      <c r="H237" s="645">
        <v>3</v>
      </c>
      <c r="I237" s="2" t="inlineStr">
        <is>
          <t>☑</t>
        </is>
      </c>
      <c r="J237" s="2" t="inlineStr">
        <is>
          <t>☑</t>
        </is>
      </c>
      <c r="K237" s="701" t="s">
        <v>134</v>
      </c>
    </row>
    <row r="238" spans="1:11">
      <c r="A238" s="645" t="s"/>
      <c r="B238" s="650" t="s">
        <v>132</v>
      </c>
      <c r="C238" s="645" t="s"/>
      <c r="D238" s="2" t="inlineStr">
        <is>
          <t>☑</t>
        </is>
      </c>
      <c r="E238" s="645" t="s"/>
      <c r="F238" s="2" t="inlineStr">
        <is>
          <t>☑</t>
        </is>
      </c>
      <c r="G238" s="2" t="inlineStr">
        <is>
          <t>☑</t>
        </is>
      </c>
      <c r="H238" s="645">
        <v>3</v>
      </c>
      <c r="I238" s="2" t="inlineStr">
        <is>
          <t>☑</t>
        </is>
      </c>
      <c r="J238" s="2" t="inlineStr">
        <is>
          <t>☑</t>
        </is>
      </c>
      <c r="K238" s="701" t="s">
        <v>134</v>
      </c>
    </row>
    <row r="239" spans="1:11">
      <c r="A239" s="645" t="s"/>
      <c r="B239" s="650" t="s">
        <v>1523</v>
      </c>
      <c r="C239" s="645" t="s">
        <v>1524</v>
      </c>
      <c r="D239" s="2" t="inlineStr">
        <is>
          <t>☑</t>
        </is>
      </c>
      <c r="E239" s="645" t="s">
        <v>1238</v>
      </c>
      <c r="F239" s="2" t="inlineStr">
        <is>
          <t>☑</t>
        </is>
      </c>
      <c r="G239" s="2" t="inlineStr">
        <is>
          <t>☑</t>
        </is>
      </c>
      <c r="H239" s="645" t="s">
        <v>1238</v>
      </c>
      <c r="I239" s="2" t="inlineStr">
        <is>
          <t>☑</t>
        </is>
      </c>
      <c r="J239" s="2" t="inlineStr">
        <is>
          <t>☑</t>
        </is>
      </c>
      <c r="K239" s="701" t="s">
        <v>134</v>
      </c>
    </row>
    <row r="240" spans="1:11">
      <c r="A240" s="645" t="s"/>
      <c r="B240" s="650" t="s">
        <v>1525</v>
      </c>
      <c r="C240" s="645" t="s"/>
      <c r="D240" s="2" t="inlineStr">
        <is>
          <t>☑</t>
        </is>
      </c>
      <c r="E240" s="645" t="s"/>
      <c r="F240" s="2" t="inlineStr">
        <is>
          <t>☑</t>
        </is>
      </c>
      <c r="G240" s="2" t="inlineStr">
        <is>
          <t>☑</t>
        </is>
      </c>
      <c r="H240" s="645" t="s"/>
      <c r="I240" s="2" t="inlineStr">
        <is>
          <t>☑</t>
        </is>
      </c>
      <c r="J240" s="2" t="inlineStr">
        <is>
          <t>☑</t>
        </is>
      </c>
      <c r="K240" s="701" t="s">
        <v>112</v>
      </c>
    </row>
    <row r="241" spans="1:11">
      <c r="A241" s="645" t="s"/>
      <c r="B241" s="650" t="s">
        <v>1526</v>
      </c>
      <c r="C241" s="645" t="s"/>
      <c r="D241" s="2" t="inlineStr">
        <is>
          <t>☑</t>
        </is>
      </c>
      <c r="E241" s="645" t="s"/>
      <c r="F241" s="2" t="inlineStr">
        <is>
          <t>☑</t>
        </is>
      </c>
      <c r="G241" s="2" t="inlineStr">
        <is>
          <t>☑</t>
        </is>
      </c>
      <c r="H241" s="645" t="s"/>
      <c r="I241" s="2" t="inlineStr">
        <is>
          <t>☑</t>
        </is>
      </c>
      <c r="J241" s="2" t="inlineStr">
        <is>
          <t>☑</t>
        </is>
      </c>
      <c r="K241" s="701" t="s">
        <v>48</v>
      </c>
    </row>
    <row r="242" spans="1:11">
      <c r="A242" s="645" t="s"/>
      <c r="B242" s="650" t="s">
        <v>1527</v>
      </c>
      <c r="C242" s="645" t="s">
        <v>1528</v>
      </c>
      <c r="D242" s="2" t="inlineStr">
        <is>
          <t>☑</t>
        </is>
      </c>
      <c r="E242" s="645" t="s">
        <v>1238</v>
      </c>
      <c r="F242" s="2" t="inlineStr">
        <is>
          <t>☑</t>
        </is>
      </c>
      <c r="G242" s="2" t="inlineStr">
        <is>
          <t>☑</t>
        </is>
      </c>
      <c r="H242" s="645" t="s">
        <v>1238</v>
      </c>
      <c r="I242" s="2" t="inlineStr">
        <is>
          <t>☑</t>
        </is>
      </c>
      <c r="J242" s="2" t="inlineStr">
        <is>
          <t>☑</t>
        </is>
      </c>
      <c r="K242" s="701" t="s">
        <v>277</v>
      </c>
    </row>
    <row r="243" spans="1:11">
      <c r="A243" s="702">
        <v>46279</v>
      </c>
      <c r="B243" s="650" t="s">
        <v>214</v>
      </c>
      <c r="C243" s="645" t="s">
        <v>1529</v>
      </c>
      <c r="D243" s="2" t="inlineStr">
        <is>
          <t>☑</t>
        </is>
      </c>
      <c r="E243" s="645" t="s">
        <v>1018</v>
      </c>
      <c r="F243" s="2" t="inlineStr">
        <is>
          <t>☑</t>
        </is>
      </c>
      <c r="G243" s="2" t="inlineStr">
        <is>
          <t>☑</t>
        </is>
      </c>
      <c r="H243" s="645" t="s">
        <v>1018</v>
      </c>
      <c r="I243" s="2" t="inlineStr">
        <is>
          <t>☑</t>
        </is>
      </c>
      <c r="J243" s="2" t="inlineStr">
        <is>
          <t>☑</t>
        </is>
      </c>
      <c r="K243" s="701" t="s">
        <v>44</v>
      </c>
    </row>
    <row r="244" spans="1:11">
      <c r="A244" s="645" t="s"/>
      <c r="B244" s="650" t="s">
        <v>217</v>
      </c>
      <c r="C244" s="645" t="s"/>
      <c r="D244" s="2" t="inlineStr">
        <is>
          <t>☑</t>
        </is>
      </c>
      <c r="E244" s="645" t="s"/>
      <c r="F244" s="2" t="inlineStr">
        <is>
          <t>☑</t>
        </is>
      </c>
      <c r="G244" s="2" t="inlineStr">
        <is>
          <t>☑</t>
        </is>
      </c>
      <c r="H244" s="645" t="s">
        <v>1238</v>
      </c>
      <c r="I244" s="2" t="inlineStr">
        <is>
          <t>☑</t>
        </is>
      </c>
      <c r="J244" s="2" t="inlineStr">
        <is>
          <t>☑</t>
        </is>
      </c>
      <c r="K244" s="701" t="s">
        <v>44</v>
      </c>
    </row>
    <row r="245" spans="1:11">
      <c r="A245" s="645" t="s"/>
      <c r="B245" s="650" t="s">
        <v>1530</v>
      </c>
      <c r="C245" s="645" t="s"/>
      <c r="D245" s="2" t="inlineStr">
        <is>
          <t>☑</t>
        </is>
      </c>
      <c r="E245" s="645" t="s"/>
      <c r="F245" s="2" t="inlineStr">
        <is>
          <t>☑</t>
        </is>
      </c>
      <c r="G245" s="2" t="inlineStr">
        <is>
          <t>☑</t>
        </is>
      </c>
      <c r="H245" s="645" t="s"/>
      <c r="I245" s="2" t="inlineStr">
        <is>
          <t>☑</t>
        </is>
      </c>
      <c r="J245" s="2" t="inlineStr">
        <is>
          <t>☑</t>
        </is>
      </c>
      <c r="K245" s="701" t="s">
        <v>48</v>
      </c>
    </row>
    <row r="246" spans="1:11">
      <c r="A246" s="645" t="s"/>
      <c r="B246" s="650" t="s">
        <v>79</v>
      </c>
      <c r="C246" s="645" t="s"/>
      <c r="D246" s="2" t="inlineStr">
        <is>
          <t>☑</t>
        </is>
      </c>
      <c r="E246" s="645" t="s"/>
      <c r="F246" s="2" t="inlineStr">
        <is>
          <t>☑</t>
        </is>
      </c>
      <c r="G246" s="2" t="inlineStr">
        <is>
          <t>☑</t>
        </is>
      </c>
      <c r="H246" s="645" t="s">
        <v>1262</v>
      </c>
      <c r="I246" s="2" t="inlineStr">
        <is>
          <t>☑</t>
        </is>
      </c>
      <c r="J246" s="2" t="inlineStr">
        <is>
          <t>☑</t>
        </is>
      </c>
      <c r="K246" s="701" t="s">
        <v>54</v>
      </c>
    </row>
    <row r="247" spans="1:11">
      <c r="A247" s="645" t="s"/>
      <c r="B247" s="650" t="s">
        <v>1531</v>
      </c>
      <c r="C247" s="645" t="s"/>
      <c r="D247" s="2" t="inlineStr">
        <is>
          <t>☑</t>
        </is>
      </c>
      <c r="E247" s="645" t="s"/>
      <c r="F247" s="2" t="inlineStr">
        <is>
          <t>☑</t>
        </is>
      </c>
      <c r="G247" s="2" t="inlineStr">
        <is>
          <t>☑</t>
        </is>
      </c>
      <c r="H247" s="645" t="s"/>
      <c r="I247" s="2" t="inlineStr">
        <is>
          <t>☑</t>
        </is>
      </c>
      <c r="J247" s="2" t="inlineStr">
        <is>
          <t>☑</t>
        </is>
      </c>
      <c r="K247" s="701" t="s">
        <v>48</v>
      </c>
    </row>
    <row r="248" spans="1:11">
      <c r="A248" s="645" t="s"/>
      <c r="B248" s="650" t="s">
        <v>1532</v>
      </c>
      <c r="C248" s="645" t="s"/>
      <c r="D248" s="2" t="inlineStr">
        <is>
          <t>☑</t>
        </is>
      </c>
      <c r="E248" s="645" t="s"/>
      <c r="F248" s="2" t="inlineStr">
        <is>
          <t>☑</t>
        </is>
      </c>
      <c r="G248" s="2" t="inlineStr">
        <is>
          <t>☑</t>
        </is>
      </c>
      <c r="H248" s="645" t="s"/>
      <c r="I248" s="2" t="inlineStr">
        <is>
          <t>☑</t>
        </is>
      </c>
      <c r="J248" s="2" t="inlineStr">
        <is>
          <t>☑</t>
        </is>
      </c>
      <c r="K248" s="701" t="s">
        <v>48</v>
      </c>
    </row>
    <row r="249" spans="1:11">
      <c r="A249" s="645" t="s"/>
      <c r="B249" s="650" t="s">
        <v>1533</v>
      </c>
      <c r="C249" s="645" t="s"/>
      <c r="D249" s="2" t="inlineStr">
        <is>
          <t>☑</t>
        </is>
      </c>
      <c r="E249" s="645" t="s"/>
      <c r="F249" s="2" t="inlineStr">
        <is>
          <t>☑</t>
        </is>
      </c>
      <c r="G249" s="2" t="inlineStr">
        <is>
          <t>☑</t>
        </is>
      </c>
      <c r="H249" s="645" t="s"/>
      <c r="I249" s="2" t="inlineStr">
        <is>
          <t>☑</t>
        </is>
      </c>
      <c r="J249" s="2" t="inlineStr">
        <is>
          <t>☑</t>
        </is>
      </c>
      <c r="K249" s="701" t="s">
        <v>54</v>
      </c>
    </row>
    <row r="250" spans="1:11">
      <c r="A250" s="702">
        <v>46280</v>
      </c>
      <c r="B250" s="705" t="s">
        <v>1534</v>
      </c>
      <c r="C250" s="645" t="s">
        <v>1535</v>
      </c>
      <c r="D250" s="2" t="inlineStr">
        <is>
          <t>☑</t>
        </is>
      </c>
      <c r="E250" s="645">
        <v>2</v>
      </c>
      <c r="F250" s="2" t="inlineStr">
        <is>
          <t>☑</t>
        </is>
      </c>
      <c r="G250" s="2" t="inlineStr">
        <is>
          <t>☑</t>
        </is>
      </c>
      <c r="H250" s="645">
        <v>2</v>
      </c>
      <c r="I250" s="2" t="inlineStr">
        <is>
          <t>☑</t>
        </is>
      </c>
      <c r="J250" s="2" t="inlineStr">
        <is>
          <t>☑</t>
        </is>
      </c>
      <c r="K250" s="701" t="s">
        <v>277</v>
      </c>
    </row>
    <row r="251" spans="1:11">
      <c r="A251" s="645" t="s"/>
      <c r="B251" s="650" t="s">
        <v>1536</v>
      </c>
      <c r="C251" s="645" t="s"/>
      <c r="D251" s="2" t="inlineStr">
        <is>
          <t>☑</t>
        </is>
      </c>
      <c r="E251" s="645" t="s"/>
      <c r="F251" s="2" t="inlineStr">
        <is>
          <t>☑</t>
        </is>
      </c>
      <c r="G251" s="2" t="inlineStr">
        <is>
          <t>☑</t>
        </is>
      </c>
      <c r="H251" s="645" t="s"/>
      <c r="I251" s="2" t="inlineStr">
        <is>
          <t>☑</t>
        </is>
      </c>
      <c r="J251" s="2" t="inlineStr">
        <is>
          <t>☑</t>
        </is>
      </c>
      <c r="K251" s="701" t="s">
        <v>54</v>
      </c>
    </row>
    <row r="252" spans="1:11">
      <c r="A252" s="645" t="s"/>
      <c r="B252" s="650" t="s"/>
      <c r="C252" s="645" t="s">
        <v>1537</v>
      </c>
      <c r="D252" s="2" t="inlineStr">
        <is>
          <t>☑</t>
        </is>
      </c>
      <c r="E252" s="645" t="s">
        <v>1238</v>
      </c>
      <c r="F252" s="2" t="inlineStr">
        <is>
          <t>☑</t>
        </is>
      </c>
      <c r="G252" s="2" t="inlineStr">
        <is>
          <t>☑</t>
        </is>
      </c>
      <c r="H252" s="645" t="s">
        <v>1238</v>
      </c>
      <c r="I252" s="2" t="inlineStr">
        <is>
          <t>☐</t>
        </is>
      </c>
      <c r="J252" s="2" t="inlineStr">
        <is>
          <t>☐</t>
        </is>
      </c>
      <c r="K252" s="701" t="s">
        <v>112</v>
      </c>
    </row>
    <row r="253" spans="1:11">
      <c r="A253" s="702">
        <v>46281</v>
      </c>
      <c r="B253" s="650" t="s">
        <v>1538</v>
      </c>
      <c r="C253" s="645" t="s"/>
      <c r="D253" s="2" t="inlineStr">
        <is>
          <t>☑</t>
        </is>
      </c>
      <c r="E253" s="645" t="s"/>
      <c r="F253" s="2" t="inlineStr">
        <is>
          <t>☑</t>
        </is>
      </c>
      <c r="G253" s="2" t="inlineStr">
        <is>
          <t>☑</t>
        </is>
      </c>
      <c r="H253" s="645">
        <v>2</v>
      </c>
      <c r="I253" s="2" t="inlineStr">
        <is>
          <t>☑</t>
        </is>
      </c>
      <c r="J253" s="2" t="inlineStr">
        <is>
          <t>☑</t>
        </is>
      </c>
      <c r="K253" s="701" t="s">
        <v>44</v>
      </c>
    </row>
    <row r="254" spans="1:11">
      <c r="A254" s="645" t="s"/>
      <c r="B254" s="650" t="s">
        <v>1539</v>
      </c>
      <c r="C254" s="645" t="s"/>
      <c r="D254" s="2" t="inlineStr">
        <is>
          <t>☑</t>
        </is>
      </c>
      <c r="E254" s="645" t="s"/>
      <c r="F254" s="2" t="inlineStr">
        <is>
          <t>☑</t>
        </is>
      </c>
      <c r="G254" s="2" t="inlineStr">
        <is>
          <t>☑</t>
        </is>
      </c>
      <c r="H254" s="645">
        <v>4</v>
      </c>
      <c r="I254" s="2" t="inlineStr">
        <is>
          <t>☑</t>
        </is>
      </c>
      <c r="J254" s="2" t="inlineStr">
        <is>
          <t>☑</t>
        </is>
      </c>
      <c r="K254" s="701" t="s">
        <v>44</v>
      </c>
    </row>
    <row r="255" spans="1:12">
      <c r="A255" s="645" t="s"/>
      <c r="B255" s="650" t="s">
        <v>1540</v>
      </c>
      <c r="C255" s="645" t="s">
        <v>1541</v>
      </c>
      <c r="D255" s="2" t="inlineStr">
        <is>
          <t>☑</t>
        </is>
      </c>
      <c r="E255" s="645">
        <v>4</v>
      </c>
      <c r="F255" s="2" t="inlineStr">
        <is>
          <t>☑</t>
        </is>
      </c>
      <c r="G255" s="2" t="inlineStr">
        <is>
          <t>☑</t>
        </is>
      </c>
      <c r="H255" s="645">
        <v>4</v>
      </c>
      <c r="I255" s="2" t="inlineStr">
        <is>
          <t>☑</t>
        </is>
      </c>
      <c r="J255" s="2" t="inlineStr">
        <is>
          <t>☑</t>
        </is>
      </c>
      <c r="K255" s="701" t="s">
        <v>44</v>
      </c>
      <c r="L255" t="s">
        <v>1388</v>
      </c>
    </row>
    <row r="256" spans="1:11">
      <c r="A256" s="645" t="s"/>
      <c r="B256" s="650" t="s">
        <v>1542</v>
      </c>
      <c r="C256" s="645" t="s">
        <v>1543</v>
      </c>
      <c r="D256" s="2" t="inlineStr">
        <is>
          <t>☑</t>
        </is>
      </c>
      <c r="E256" s="645" t="s">
        <v>1013</v>
      </c>
      <c r="F256" s="2" t="inlineStr">
        <is>
          <t>☑</t>
        </is>
      </c>
      <c r="G256" s="2" t="inlineStr">
        <is>
          <t>☑</t>
        </is>
      </c>
      <c r="H256" s="645" t="s">
        <v>1013</v>
      </c>
      <c r="I256" s="2" t="inlineStr">
        <is>
          <t>☑</t>
        </is>
      </c>
      <c r="J256" s="2" t="inlineStr">
        <is>
          <t>☑</t>
        </is>
      </c>
      <c r="K256" s="701" t="s">
        <v>44</v>
      </c>
    </row>
    <row r="257" spans="1:11">
      <c r="A257" s="645" t="s"/>
      <c r="B257" s="650" t="s">
        <v>1544</v>
      </c>
      <c r="C257" s="645" t="s"/>
      <c r="D257" s="2" t="inlineStr">
        <is>
          <t>☑</t>
        </is>
      </c>
      <c r="E257" s="645" t="s"/>
      <c r="F257" s="2" t="inlineStr">
        <is>
          <t>☑</t>
        </is>
      </c>
      <c r="G257" s="2" t="inlineStr">
        <is>
          <t>☑</t>
        </is>
      </c>
      <c r="H257" s="645">
        <v>4</v>
      </c>
      <c r="I257" s="2" t="inlineStr">
        <is>
          <t>☑</t>
        </is>
      </c>
      <c r="J257" s="2" t="inlineStr">
        <is>
          <t>☑</t>
        </is>
      </c>
      <c r="K257" s="701" t="s">
        <v>54</v>
      </c>
    </row>
    <row r="258" spans="1:11">
      <c r="A258" s="645" t="s"/>
      <c r="B258" s="645" t="s">
        <v>1545</v>
      </c>
      <c r="C258" s="645" t="s"/>
      <c r="D258" s="2" t="inlineStr">
        <is>
          <t>☑</t>
        </is>
      </c>
      <c r="E258" s="645" t="s"/>
      <c r="F258" s="2" t="inlineStr">
        <is>
          <t>☑</t>
        </is>
      </c>
      <c r="G258" s="2" t="inlineStr">
        <is>
          <t>☑</t>
        </is>
      </c>
      <c r="H258" s="707" t="s">
        <v>1238</v>
      </c>
      <c r="I258" s="2" t="inlineStr">
        <is>
          <t>☑</t>
        </is>
      </c>
      <c r="J258" s="2" t="inlineStr">
        <is>
          <t>☑</t>
        </is>
      </c>
      <c r="K258" s="701" t="s">
        <v>54</v>
      </c>
    </row>
    <row r="259" spans="1:11">
      <c r="A259" s="645" t="s"/>
      <c r="B259" s="645" t="s">
        <v>1546</v>
      </c>
      <c r="C259" s="645" t="s"/>
      <c r="D259" s="2" t="inlineStr">
        <is>
          <t>☑</t>
        </is>
      </c>
      <c r="E259" s="645" t="s"/>
      <c r="F259" s="2" t="inlineStr">
        <is>
          <t>☑</t>
        </is>
      </c>
      <c r="G259" s="2" t="inlineStr">
        <is>
          <t>☑</t>
        </is>
      </c>
      <c r="H259" s="645">
        <v>3</v>
      </c>
      <c r="I259" s="2" t="inlineStr">
        <is>
          <t>☑</t>
        </is>
      </c>
      <c r="J259" s="2" t="inlineStr">
        <is>
          <t>☑</t>
        </is>
      </c>
      <c r="K259" s="701" t="s">
        <v>54</v>
      </c>
    </row>
    <row r="260" spans="1:11">
      <c r="A260" s="645" t="s"/>
      <c r="B260" s="645" t="s">
        <v>1547</v>
      </c>
      <c r="C260" s="645" t="s"/>
      <c r="D260" s="2" t="inlineStr">
        <is>
          <t>☑</t>
        </is>
      </c>
      <c r="E260" s="645" t="s"/>
      <c r="F260" s="2" t="inlineStr">
        <is>
          <t>☑</t>
        </is>
      </c>
      <c r="G260" s="2" t="inlineStr">
        <is>
          <t>☑</t>
        </is>
      </c>
      <c r="H260" s="645" t="s">
        <v>1238</v>
      </c>
      <c r="I260" s="2" t="inlineStr">
        <is>
          <t>☑</t>
        </is>
      </c>
      <c r="J260" s="2" t="inlineStr">
        <is>
          <t>☑</t>
        </is>
      </c>
      <c r="K260" s="701" t="s">
        <v>112</v>
      </c>
    </row>
    <row r="261" spans="1:11">
      <c r="A261" s="645" t="s"/>
      <c r="B261" s="645" t="s">
        <v>102</v>
      </c>
      <c r="C261" s="645" t="s">
        <v>1548</v>
      </c>
      <c r="D261" s="2" t="inlineStr">
        <is>
          <t>☑</t>
        </is>
      </c>
      <c r="E261" s="645" t="s">
        <v>1262</v>
      </c>
      <c r="F261" s="2" t="inlineStr">
        <is>
          <t>☑</t>
        </is>
      </c>
      <c r="G261" s="2" t="inlineStr">
        <is>
          <t>☑</t>
        </is>
      </c>
      <c r="H261" s="645" t="s">
        <v>1262</v>
      </c>
      <c r="I261" s="2" t="inlineStr">
        <is>
          <t>☑</t>
        </is>
      </c>
      <c r="J261" s="2" t="inlineStr">
        <is>
          <t>☑</t>
        </is>
      </c>
      <c r="K261" s="701" t="s">
        <v>54</v>
      </c>
    </row>
    <row r="262" spans="1:11">
      <c r="A262" s="645" t="s"/>
      <c r="B262" s="645" t="s">
        <v>1549</v>
      </c>
      <c r="C262" s="645" t="s"/>
      <c r="D262" s="2" t="inlineStr">
        <is>
          <t>☑</t>
        </is>
      </c>
      <c r="E262" s="645" t="s"/>
      <c r="F262" s="2" t="inlineStr">
        <is>
          <t>☑</t>
        </is>
      </c>
      <c r="G262" s="2" t="inlineStr">
        <is>
          <t>☑</t>
        </is>
      </c>
      <c r="H262" s="645" t="s">
        <v>1237</v>
      </c>
      <c r="I262" s="2" t="inlineStr">
        <is>
          <t>☑</t>
        </is>
      </c>
      <c r="J262" s="2" t="inlineStr">
        <is>
          <t>☑</t>
        </is>
      </c>
      <c r="K262" s="701" t="s">
        <v>134</v>
      </c>
    </row>
    <row r="263" spans="1:11">
      <c r="A263" s="645" t="s"/>
      <c r="B263" s="645" t="s">
        <v>1550</v>
      </c>
      <c r="C263" s="645" t="s"/>
      <c r="D263" s="2" t="inlineStr">
        <is>
          <t>☑</t>
        </is>
      </c>
      <c r="E263" s="645" t="s"/>
      <c r="F263" s="2" t="inlineStr">
        <is>
          <t>☑</t>
        </is>
      </c>
      <c r="G263" s="2" t="inlineStr">
        <is>
          <t>☑</t>
        </is>
      </c>
      <c r="H263" s="645" t="s">
        <v>995</v>
      </c>
      <c r="I263" s="2" t="inlineStr">
        <is>
          <t>☑</t>
        </is>
      </c>
      <c r="J263" s="2" t="inlineStr">
        <is>
          <t>☑</t>
        </is>
      </c>
      <c r="K263" s="701" t="s">
        <v>112</v>
      </c>
    </row>
    <row r="264" spans="1:11">
      <c r="A264" s="645" t="s"/>
      <c r="B264" s="645" t="s">
        <v>1551</v>
      </c>
      <c r="C264" s="645" t="s"/>
      <c r="D264" s="2" t="inlineStr">
        <is>
          <t>☑</t>
        </is>
      </c>
      <c r="E264" s="645" t="s"/>
      <c r="F264" s="2" t="inlineStr">
        <is>
          <t>☑</t>
        </is>
      </c>
      <c r="G264" s="2" t="inlineStr">
        <is>
          <t>☑</t>
        </is>
      </c>
      <c r="H264" s="645" t="s">
        <v>1271</v>
      </c>
      <c r="I264" s="2" t="inlineStr">
        <is>
          <t>☑</t>
        </is>
      </c>
      <c r="J264" s="2" t="inlineStr">
        <is>
          <t>☑</t>
        </is>
      </c>
      <c r="K264" s="701" t="s">
        <v>112</v>
      </c>
    </row>
    <row r="265" spans="1:11">
      <c r="A265" s="645" t="s"/>
      <c r="B265" s="645" t="s">
        <v>1552</v>
      </c>
      <c r="C265" s="645" t="s"/>
      <c r="D265" s="2" t="inlineStr">
        <is>
          <t>☑</t>
        </is>
      </c>
      <c r="E265" s="645" t="s"/>
      <c r="F265" s="2" t="inlineStr">
        <is>
          <t>☑</t>
        </is>
      </c>
      <c r="G265" s="2" t="inlineStr">
        <is>
          <t>☑</t>
        </is>
      </c>
      <c r="H265" s="707" t="s">
        <v>1238</v>
      </c>
      <c r="I265" s="2" t="inlineStr">
        <is>
          <t>☑</t>
        </is>
      </c>
      <c r="J265" s="2" t="inlineStr">
        <is>
          <t>☑</t>
        </is>
      </c>
      <c r="K265" s="701" t="s">
        <v>112</v>
      </c>
    </row>
    <row r="266" spans="1:11">
      <c r="A266" s="645" t="s"/>
      <c r="B266" s="645" t="s">
        <v>1553</v>
      </c>
      <c r="C266" s="645" t="s"/>
      <c r="D266" s="2" t="inlineStr">
        <is>
          <t>☑</t>
        </is>
      </c>
      <c r="E266" s="645" t="s"/>
      <c r="F266" s="2" t="inlineStr">
        <is>
          <t>☑</t>
        </is>
      </c>
      <c r="G266" s="2" t="inlineStr">
        <is>
          <t>☑</t>
        </is>
      </c>
      <c r="H266" s="707" t="s">
        <v>1238</v>
      </c>
      <c r="I266" s="2" t="inlineStr">
        <is>
          <t>☑</t>
        </is>
      </c>
      <c r="J266" s="2" t="inlineStr">
        <is>
          <t>☑</t>
        </is>
      </c>
      <c r="K266" s="701" t="s">
        <v>112</v>
      </c>
    </row>
    <row r="267" spans="1:11">
      <c r="A267" s="645" t="s"/>
      <c r="B267" s="645" t="s">
        <v>1554</v>
      </c>
      <c r="C267" s="645" t="s"/>
      <c r="D267" s="2" t="inlineStr">
        <is>
          <t>☑</t>
        </is>
      </c>
      <c r="E267" s="645" t="s"/>
      <c r="F267" s="2" t="inlineStr">
        <is>
          <t>☑</t>
        </is>
      </c>
      <c r="G267" s="2" t="inlineStr">
        <is>
          <t>☑</t>
        </is>
      </c>
      <c r="H267" s="707" t="s">
        <v>1238</v>
      </c>
      <c r="I267" s="2" t="inlineStr">
        <is>
          <t>☑</t>
        </is>
      </c>
      <c r="J267" s="2" t="inlineStr">
        <is>
          <t>☐</t>
        </is>
      </c>
      <c r="K267" s="701" t="s">
        <v>277</v>
      </c>
    </row>
    <row r="268" spans="1:11">
      <c r="A268" s="702">
        <v>46282</v>
      </c>
      <c r="B268" s="645" t="s">
        <v>1555</v>
      </c>
      <c r="C268" s="645" t="s">
        <v>1556</v>
      </c>
      <c r="D268" s="2" t="inlineStr">
        <is>
          <t>☑</t>
        </is>
      </c>
      <c r="E268" s="645" t="s"/>
      <c r="F268" s="2" t="inlineStr">
        <is>
          <t>☑</t>
        </is>
      </c>
      <c r="G268" s="2" t="inlineStr">
        <is>
          <t>☑</t>
        </is>
      </c>
      <c r="H268" s="707" t="s">
        <v>1238</v>
      </c>
      <c r="I268" s="2" t="inlineStr">
        <is>
          <t>☑</t>
        </is>
      </c>
      <c r="J268" s="2" t="inlineStr">
        <is>
          <t>☐</t>
        </is>
      </c>
      <c r="K268" s="701" t="s">
        <v>112</v>
      </c>
    </row>
    <row r="269" spans="1:11">
      <c r="A269" s="645" t="s"/>
      <c r="B269" s="645" t="s"/>
      <c r="C269" s="645" t="s"/>
      <c r="D269" s="2" t="inlineStr">
        <is>
          <t>☐</t>
        </is>
      </c>
      <c r="E269" s="645" t="s"/>
      <c r="F269" s="2" t="inlineStr">
        <is>
          <t>☐</t>
        </is>
      </c>
      <c r="G269" s="2" t="inlineStr">
        <is>
          <t>☐</t>
        </is>
      </c>
      <c r="H269" s="645" t="s"/>
      <c r="I269" s="2" t="inlineStr">
        <is>
          <t>☐</t>
        </is>
      </c>
      <c r="J269" s="2" t="inlineStr">
        <is>
          <t>☐</t>
        </is>
      </c>
      <c r="K269" s="701" t="s"/>
    </row>
    <row r="270" spans="1:11">
      <c r="A270" s="645" t="s"/>
      <c r="B270" s="645" t="s"/>
      <c r="C270" s="645" t="s"/>
      <c r="D270" s="2" t="inlineStr">
        <is>
          <t>☐</t>
        </is>
      </c>
      <c r="E270" s="645" t="s"/>
      <c r="F270" s="2" t="inlineStr">
        <is>
          <t>☐</t>
        </is>
      </c>
      <c r="G270" s="2" t="inlineStr">
        <is>
          <t>☐</t>
        </is>
      </c>
      <c r="H270" s="645" t="s"/>
      <c r="I270" s="2" t="inlineStr">
        <is>
          <t>☐</t>
        </is>
      </c>
      <c r="J270" s="2" t="inlineStr">
        <is>
          <t>☐</t>
        </is>
      </c>
      <c r="K270" s="701" t="s"/>
    </row>
    <row r="271" spans="1:11">
      <c r="A271" s="645" t="s"/>
      <c r="B271" s="645" t="s"/>
      <c r="C271" s="645" t="s"/>
      <c r="D271" s="2" t="inlineStr">
        <is>
          <t>☐</t>
        </is>
      </c>
      <c r="E271" s="645" t="s"/>
      <c r="F271" s="2" t="inlineStr">
        <is>
          <t>☐</t>
        </is>
      </c>
      <c r="G271" s="2" t="inlineStr">
        <is>
          <t>☐</t>
        </is>
      </c>
      <c r="H271" s="645" t="s"/>
      <c r="I271" s="2" t="inlineStr">
        <is>
          <t>☐</t>
        </is>
      </c>
      <c r="J271" s="2" t="inlineStr">
        <is>
          <t>☐</t>
        </is>
      </c>
      <c r="K271" s="701" t="s"/>
    </row>
    <row r="272" spans="1:11">
      <c r="A272" s="645" t="s"/>
      <c r="B272" s="645" t="s"/>
      <c r="C272" s="645" t="s"/>
      <c r="D272" s="2" t="inlineStr">
        <is>
          <t>☐</t>
        </is>
      </c>
      <c r="E272" s="645" t="s"/>
      <c r="F272" s="2" t="inlineStr">
        <is>
          <t>☐</t>
        </is>
      </c>
      <c r="G272" s="2" t="inlineStr">
        <is>
          <t>☐</t>
        </is>
      </c>
      <c r="H272" s="645" t="s"/>
      <c r="I272" s="2" t="inlineStr">
        <is>
          <t>☐</t>
        </is>
      </c>
      <c r="J272" s="2" t="inlineStr">
        <is>
          <t>☐</t>
        </is>
      </c>
      <c r="K272" s="701" t="s"/>
    </row>
    <row r="273" spans="1:11">
      <c r="A273" s="645" t="s"/>
      <c r="B273" s="645" t="s"/>
      <c r="C273" s="645" t="s"/>
      <c r="D273" s="2" t="inlineStr">
        <is>
          <t>☐</t>
        </is>
      </c>
      <c r="E273" s="645" t="s"/>
      <c r="F273" s="2" t="inlineStr">
        <is>
          <t>☐</t>
        </is>
      </c>
      <c r="G273" s="2" t="inlineStr">
        <is>
          <t>☐</t>
        </is>
      </c>
      <c r="H273" s="645" t="s"/>
      <c r="I273" s="2" t="inlineStr">
        <is>
          <t>☐</t>
        </is>
      </c>
      <c r="J273" s="2" t="inlineStr">
        <is>
          <t>☐</t>
        </is>
      </c>
      <c r="K273" s="701" t="s"/>
    </row>
    <row r="274" spans="1:11">
      <c r="A274" s="645" t="s"/>
      <c r="B274" s="645" t="s"/>
      <c r="C274" s="645" t="s"/>
      <c r="D274" s="2" t="inlineStr">
        <is>
          <t>☐</t>
        </is>
      </c>
      <c r="E274" s="645" t="s"/>
      <c r="F274" s="2" t="inlineStr">
        <is>
          <t>☐</t>
        </is>
      </c>
      <c r="G274" s="2" t="inlineStr">
        <is>
          <t>☐</t>
        </is>
      </c>
      <c r="H274" s="645" t="s"/>
      <c r="I274" s="2" t="inlineStr">
        <is>
          <t>☐</t>
        </is>
      </c>
      <c r="J274" s="2" t="inlineStr">
        <is>
          <t>☐</t>
        </is>
      </c>
      <c r="K274" s="701" t="s"/>
    </row>
    <row r="275" spans="1:11">
      <c r="A275" s="645" t="s"/>
      <c r="B275" s="645" t="s"/>
      <c r="C275" s="645" t="s"/>
      <c r="D275" s="2" t="inlineStr">
        <is>
          <t>☐</t>
        </is>
      </c>
      <c r="E275" s="645" t="s"/>
      <c r="F275" s="2" t="inlineStr">
        <is>
          <t>☐</t>
        </is>
      </c>
      <c r="G275" s="2" t="inlineStr">
        <is>
          <t>☐</t>
        </is>
      </c>
      <c r="H275" s="645" t="s"/>
      <c r="I275" s="2" t="inlineStr">
        <is>
          <t>☐</t>
        </is>
      </c>
      <c r="J275" s="2" t="inlineStr">
        <is>
          <t>☐</t>
        </is>
      </c>
      <c r="K275" s="701" t="s"/>
    </row>
    <row r="276" spans="1:11">
      <c r="A276" s="645" t="s"/>
      <c r="B276" s="645" t="s"/>
      <c r="C276" s="645" t="s"/>
      <c r="D276" s="2" t="inlineStr">
        <is>
          <t>☐</t>
        </is>
      </c>
      <c r="E276" s="645" t="s"/>
      <c r="F276" s="2" t="inlineStr">
        <is>
          <t>☐</t>
        </is>
      </c>
      <c r="G276" s="2" t="inlineStr">
        <is>
          <t>☐</t>
        </is>
      </c>
      <c r="H276" s="645" t="s"/>
      <c r="I276" s="2" t="inlineStr">
        <is>
          <t>☐</t>
        </is>
      </c>
      <c r="J276" s="2" t="inlineStr">
        <is>
          <t>☐</t>
        </is>
      </c>
      <c r="K276" s="701" t="s"/>
    </row>
    <row r="277" spans="1:11">
      <c r="A277" s="645" t="s"/>
      <c r="B277" s="645" t="s"/>
      <c r="C277" s="645" t="s"/>
      <c r="D277" s="2" t="inlineStr">
        <is>
          <t>☐</t>
        </is>
      </c>
      <c r="E277" s="645" t="s"/>
      <c r="F277" s="2" t="inlineStr">
        <is>
          <t>☐</t>
        </is>
      </c>
      <c r="G277" s="2" t="inlineStr">
        <is>
          <t>☐</t>
        </is>
      </c>
      <c r="H277" s="645" t="s"/>
      <c r="I277" s="2" t="inlineStr">
        <is>
          <t>☐</t>
        </is>
      </c>
      <c r="J277" s="2" t="inlineStr">
        <is>
          <t>☐</t>
        </is>
      </c>
      <c r="K277" s="701" t="s"/>
    </row>
    <row r="278" spans="1:11">
      <c r="A278" s="645" t="s"/>
      <c r="B278" s="645" t="s"/>
      <c r="C278" s="645" t="s"/>
      <c r="D278" s="2" t="inlineStr">
        <is>
          <t>☐</t>
        </is>
      </c>
      <c r="E278" s="645" t="s"/>
      <c r="F278" s="2" t="inlineStr">
        <is>
          <t>☐</t>
        </is>
      </c>
      <c r="G278" s="2" t="inlineStr">
        <is>
          <t>☐</t>
        </is>
      </c>
      <c r="H278" s="645" t="s"/>
      <c r="I278" s="2" t="inlineStr">
        <is>
          <t>☐</t>
        </is>
      </c>
      <c r="J278" s="2" t="inlineStr">
        <is>
          <t>☐</t>
        </is>
      </c>
      <c r="K278" s="701" t="s"/>
    </row>
    <row r="279" spans="1:11">
      <c r="A279" s="645" t="s"/>
      <c r="B279" s="645" t="s"/>
      <c r="C279" s="645" t="s"/>
      <c r="D279" s="2" t="inlineStr">
        <is>
          <t>☐</t>
        </is>
      </c>
      <c r="E279" s="645" t="s"/>
      <c r="F279" s="2" t="inlineStr">
        <is>
          <t>☐</t>
        </is>
      </c>
      <c r="G279" s="2" t="inlineStr">
        <is>
          <t>☐</t>
        </is>
      </c>
      <c r="H279" s="645" t="s"/>
      <c r="I279" s="2" t="inlineStr">
        <is>
          <t>☐</t>
        </is>
      </c>
      <c r="J279" s="2" t="inlineStr">
        <is>
          <t>☐</t>
        </is>
      </c>
      <c r="K279" s="701" t="s"/>
    </row>
    <row r="280" spans="1:11">
      <c r="A280" s="645" t="s"/>
      <c r="B280" s="645" t="s"/>
      <c r="C280" s="645" t="s"/>
      <c r="D280" s="2" t="inlineStr">
        <is>
          <t>☐</t>
        </is>
      </c>
      <c r="E280" s="645" t="s"/>
      <c r="F280" s="2" t="inlineStr">
        <is>
          <t>☐</t>
        </is>
      </c>
      <c r="G280" s="2" t="inlineStr">
        <is>
          <t>☐</t>
        </is>
      </c>
      <c r="H280" s="645" t="s"/>
      <c r="I280" s="2" t="inlineStr">
        <is>
          <t>☐</t>
        </is>
      </c>
      <c r="J280" s="2" t="inlineStr">
        <is>
          <t>☐</t>
        </is>
      </c>
      <c r="K280" s="701" t="s"/>
    </row>
    <row r="281" spans="1:11">
      <c r="A281" s="645" t="s"/>
      <c r="B281" s="645" t="s"/>
      <c r="C281" s="645" t="s"/>
      <c r="D281" s="2" t="inlineStr">
        <is>
          <t>☐</t>
        </is>
      </c>
      <c r="E281" s="645" t="s"/>
      <c r="F281" s="2" t="inlineStr">
        <is>
          <t>☐</t>
        </is>
      </c>
      <c r="G281" s="2" t="inlineStr">
        <is>
          <t>☐</t>
        </is>
      </c>
      <c r="H281" s="645" t="s"/>
      <c r="I281" s="2" t="inlineStr">
        <is>
          <t>☐</t>
        </is>
      </c>
      <c r="J281" s="2" t="inlineStr">
        <is>
          <t>☐</t>
        </is>
      </c>
      <c r="K281" s="701" t="s"/>
    </row>
    <row r="282" spans="1:11">
      <c r="A282" s="645" t="s"/>
      <c r="B282" s="645" t="s"/>
      <c r="C282" s="645" t="s"/>
      <c r="D282" s="2" t="inlineStr">
        <is>
          <t>☐</t>
        </is>
      </c>
      <c r="E282" s="645" t="s"/>
      <c r="F282" s="2" t="inlineStr">
        <is>
          <t>☐</t>
        </is>
      </c>
      <c r="G282" s="2" t="inlineStr">
        <is>
          <t>☐</t>
        </is>
      </c>
      <c r="H282" s="645" t="s"/>
      <c r="I282" s="2" t="inlineStr">
        <is>
          <t>☐</t>
        </is>
      </c>
      <c r="J282" s="2" t="inlineStr">
        <is>
          <t>☐</t>
        </is>
      </c>
      <c r="K282" s="701" t="s"/>
    </row>
    <row r="283" spans="1:11">
      <c r="A283" s="645" t="s"/>
      <c r="B283" s="645" t="s"/>
      <c r="C283" s="645" t="s"/>
      <c r="D283" s="2" t="inlineStr">
        <is>
          <t>☐</t>
        </is>
      </c>
      <c r="E283" s="645" t="s"/>
      <c r="F283" s="2" t="inlineStr">
        <is>
          <t>☐</t>
        </is>
      </c>
      <c r="G283" s="2" t="inlineStr">
        <is>
          <t>☐</t>
        </is>
      </c>
      <c r="H283" s="645" t="s"/>
      <c r="I283" s="2" t="inlineStr">
        <is>
          <t>☐</t>
        </is>
      </c>
      <c r="J283" s="2" t="inlineStr">
        <is>
          <t>☐</t>
        </is>
      </c>
      <c r="K283" s="701" t="s"/>
    </row>
    <row r="284" spans="1:11">
      <c r="A284" s="645" t="s"/>
      <c r="B284" s="645" t="s"/>
      <c r="C284" s="645" t="s"/>
      <c r="D284" s="2" t="inlineStr">
        <is>
          <t>☐</t>
        </is>
      </c>
      <c r="E284" s="645" t="s"/>
      <c r="F284" s="2" t="inlineStr">
        <is>
          <t>☐</t>
        </is>
      </c>
      <c r="G284" s="2" t="inlineStr">
        <is>
          <t>☐</t>
        </is>
      </c>
      <c r="H284" s="645" t="s"/>
      <c r="I284" s="2" t="inlineStr">
        <is>
          <t>☐</t>
        </is>
      </c>
      <c r="J284" s="2" t="inlineStr">
        <is>
          <t>☐</t>
        </is>
      </c>
      <c r="K284" s="701" t="s"/>
    </row>
    <row r="285" spans="1:11">
      <c r="A285" s="645" t="s"/>
      <c r="B285" s="645" t="s"/>
      <c r="C285" s="645" t="s"/>
      <c r="D285" s="2" t="inlineStr">
        <is>
          <t>☐</t>
        </is>
      </c>
      <c r="E285" s="645" t="s"/>
      <c r="F285" s="2" t="inlineStr">
        <is>
          <t>☐</t>
        </is>
      </c>
      <c r="G285" s="2" t="inlineStr">
        <is>
          <t>☐</t>
        </is>
      </c>
      <c r="H285" s="645" t="s"/>
      <c r="I285" s="2" t="inlineStr">
        <is>
          <t>☐</t>
        </is>
      </c>
      <c r="J285" s="2" t="inlineStr">
        <is>
          <t>☐</t>
        </is>
      </c>
      <c r="K285" s="701" t="s"/>
    </row>
    <row r="286" spans="1:11">
      <c r="A286" s="645" t="s"/>
      <c r="B286" s="645" t="s"/>
      <c r="C286" s="645" t="s"/>
      <c r="D286" s="2" t="inlineStr">
        <is>
          <t>☐</t>
        </is>
      </c>
      <c r="E286" s="645" t="s"/>
      <c r="F286" s="2" t="inlineStr">
        <is>
          <t>☐</t>
        </is>
      </c>
      <c r="G286" s="2" t="inlineStr">
        <is>
          <t>☐</t>
        </is>
      </c>
      <c r="H286" s="645" t="s"/>
      <c r="I286" s="2" t="inlineStr">
        <is>
          <t>☐</t>
        </is>
      </c>
      <c r="J286" s="2" t="inlineStr">
        <is>
          <t>☐</t>
        </is>
      </c>
      <c r="K286" s="701" t="s"/>
    </row>
    <row r="287" spans="1:11">
      <c r="A287" s="645" t="s"/>
      <c r="B287" s="645" t="s"/>
      <c r="C287" s="645" t="s"/>
      <c r="D287" s="2" t="inlineStr">
        <is>
          <t>☐</t>
        </is>
      </c>
      <c r="E287" s="645" t="s"/>
      <c r="F287" s="2" t="inlineStr">
        <is>
          <t>☐</t>
        </is>
      </c>
      <c r="G287" s="2" t="inlineStr">
        <is>
          <t>☐</t>
        </is>
      </c>
      <c r="H287" s="645" t="s"/>
      <c r="I287" s="2" t="inlineStr">
        <is>
          <t>☐</t>
        </is>
      </c>
      <c r="J287" s="2" t="inlineStr">
        <is>
          <t>☐</t>
        </is>
      </c>
      <c r="K287" s="701" t="s"/>
    </row>
    <row r="288" spans="1:11">
      <c r="A288" s="645" t="s"/>
      <c r="B288" s="645" t="s"/>
      <c r="C288" s="645" t="s"/>
      <c r="D288" s="2" t="inlineStr">
        <is>
          <t>☐</t>
        </is>
      </c>
      <c r="E288" s="645" t="s"/>
      <c r="F288" s="2" t="inlineStr">
        <is>
          <t>☐</t>
        </is>
      </c>
      <c r="G288" s="2" t="inlineStr">
        <is>
          <t>☐</t>
        </is>
      </c>
      <c r="H288" s="645" t="s"/>
      <c r="I288" s="2" t="inlineStr">
        <is>
          <t>☐</t>
        </is>
      </c>
      <c r="J288" s="2" t="inlineStr">
        <is>
          <t>☐</t>
        </is>
      </c>
      <c r="K288" s="701" t="s"/>
    </row>
    <row r="289" spans="1:11">
      <c r="A289" s="645" t="s"/>
      <c r="B289" s="645" t="s"/>
      <c r="C289" s="645" t="s"/>
      <c r="D289" s="2" t="inlineStr">
        <is>
          <t>☐</t>
        </is>
      </c>
      <c r="E289" s="645" t="s"/>
      <c r="F289" s="2" t="inlineStr">
        <is>
          <t>☐</t>
        </is>
      </c>
      <c r="G289" s="2" t="inlineStr">
        <is>
          <t>☐</t>
        </is>
      </c>
      <c r="H289" s="645" t="s"/>
      <c r="I289" s="2" t="inlineStr">
        <is>
          <t>☐</t>
        </is>
      </c>
      <c r="J289" s="2" t="inlineStr">
        <is>
          <t>☐</t>
        </is>
      </c>
      <c r="K289" s="701" t="s"/>
    </row>
    <row r="290" spans="1:11">
      <c r="A290" s="645" t="s"/>
      <c r="B290" s="645" t="s"/>
      <c r="C290" s="645" t="s"/>
      <c r="D290" s="2" t="inlineStr">
        <is>
          <t>☐</t>
        </is>
      </c>
      <c r="E290" s="645" t="s"/>
      <c r="F290" s="2" t="inlineStr">
        <is>
          <t>☐</t>
        </is>
      </c>
      <c r="G290" s="2" t="inlineStr">
        <is>
          <t>☐</t>
        </is>
      </c>
      <c r="H290" s="645" t="s"/>
      <c r="I290" s="2" t="inlineStr">
        <is>
          <t>☐</t>
        </is>
      </c>
      <c r="J290" s="2" t="inlineStr">
        <is>
          <t>☐</t>
        </is>
      </c>
      <c r="K290" s="701" t="s"/>
    </row>
    <row r="291" spans="1:11">
      <c r="A291" s="645" t="s"/>
      <c r="B291" s="645" t="s"/>
      <c r="C291" s="645" t="s"/>
      <c r="D291" s="2" t="inlineStr">
        <is>
          <t>☐</t>
        </is>
      </c>
      <c r="E291" s="645" t="s"/>
      <c r="F291" s="2" t="inlineStr">
        <is>
          <t>☐</t>
        </is>
      </c>
      <c r="G291" s="2" t="inlineStr">
        <is>
          <t>☐</t>
        </is>
      </c>
      <c r="H291" s="645" t="s"/>
      <c r="I291" s="2" t="inlineStr">
        <is>
          <t>☐</t>
        </is>
      </c>
      <c r="J291" s="2" t="inlineStr">
        <is>
          <t>☐</t>
        </is>
      </c>
      <c r="K291" s="701" t="s"/>
    </row>
    <row r="292" spans="1:11">
      <c r="A292" s="645" t="s"/>
      <c r="B292" s="645" t="s"/>
      <c r="C292" s="645" t="s"/>
      <c r="D292" s="2" t="inlineStr">
        <is>
          <t>☐</t>
        </is>
      </c>
      <c r="E292" s="645" t="s"/>
      <c r="F292" s="2" t="inlineStr">
        <is>
          <t>☐</t>
        </is>
      </c>
      <c r="G292" s="2" t="inlineStr">
        <is>
          <t>☐</t>
        </is>
      </c>
      <c r="H292" s="645" t="s"/>
      <c r="I292" s="2" t="inlineStr">
        <is>
          <t>☐</t>
        </is>
      </c>
      <c r="J292" s="2" t="inlineStr">
        <is>
          <t>☐</t>
        </is>
      </c>
      <c r="K292" s="701" t="s"/>
    </row>
    <row r="293" spans="1:11">
      <c r="A293" s="645" t="s"/>
      <c r="B293" s="645" t="s"/>
      <c r="C293" s="645" t="s"/>
      <c r="D293" s="2" t="inlineStr">
        <is>
          <t>☐</t>
        </is>
      </c>
      <c r="E293" s="645" t="s"/>
      <c r="F293" s="2" t="inlineStr">
        <is>
          <t>☐</t>
        </is>
      </c>
      <c r="G293" s="2" t="inlineStr">
        <is>
          <t>☐</t>
        </is>
      </c>
      <c r="H293" s="645" t="s"/>
      <c r="I293" s="2" t="inlineStr">
        <is>
          <t>☐</t>
        </is>
      </c>
      <c r="J293" s="2" t="inlineStr">
        <is>
          <t>☐</t>
        </is>
      </c>
      <c r="K293" s="701" t="s"/>
    </row>
    <row r="294" spans="1:11">
      <c r="A294" s="645" t="s"/>
      <c r="B294" s="645" t="s"/>
      <c r="C294" s="645" t="s"/>
      <c r="D294" s="2" t="inlineStr">
        <is>
          <t>☐</t>
        </is>
      </c>
      <c r="E294" s="645" t="s"/>
      <c r="F294" s="2" t="inlineStr">
        <is>
          <t>☐</t>
        </is>
      </c>
      <c r="G294" s="2" t="inlineStr">
        <is>
          <t>☐</t>
        </is>
      </c>
      <c r="H294" s="645" t="s"/>
      <c r="I294" s="2" t="inlineStr">
        <is>
          <t>☐</t>
        </is>
      </c>
      <c r="J294" s="2" t="inlineStr">
        <is>
          <t>☐</t>
        </is>
      </c>
      <c r="K294" s="701" t="s"/>
    </row>
    <row r="295" spans="1:11">
      <c r="A295" s="645" t="s"/>
      <c r="B295" s="645" t="s"/>
      <c r="C295" s="645" t="s"/>
      <c r="D295" s="2" t="inlineStr">
        <is>
          <t>☐</t>
        </is>
      </c>
      <c r="E295" s="645" t="s"/>
      <c r="F295" s="2" t="inlineStr">
        <is>
          <t>☐</t>
        </is>
      </c>
      <c r="G295" s="2" t="inlineStr">
        <is>
          <t>☐</t>
        </is>
      </c>
      <c r="H295" s="645" t="s"/>
      <c r="I295" s="2" t="inlineStr">
        <is>
          <t>☐</t>
        </is>
      </c>
      <c r="J295" s="2" t="inlineStr">
        <is>
          <t>☐</t>
        </is>
      </c>
      <c r="K295" s="701" t="s"/>
    </row>
    <row r="296" spans="1:11">
      <c r="A296" s="645" t="s"/>
      <c r="B296" s="645" t="s"/>
      <c r="C296" s="645" t="s"/>
      <c r="D296" s="2" t="inlineStr">
        <is>
          <t>☐</t>
        </is>
      </c>
      <c r="E296" s="645" t="s"/>
      <c r="F296" s="2" t="inlineStr">
        <is>
          <t>☐</t>
        </is>
      </c>
      <c r="G296" s="2" t="inlineStr">
        <is>
          <t>☐</t>
        </is>
      </c>
      <c r="H296" s="645" t="s"/>
      <c r="I296" s="2" t="inlineStr">
        <is>
          <t>☐</t>
        </is>
      </c>
      <c r="J296" s="2" t="inlineStr">
        <is>
          <t>☐</t>
        </is>
      </c>
      <c r="K296" s="701" t="s"/>
    </row>
    <row r="297" spans="1:11">
      <c r="A297" s="645" t="s"/>
      <c r="B297" s="645" t="s"/>
      <c r="C297" s="645" t="s"/>
      <c r="D297" s="2" t="inlineStr">
        <is>
          <t>☐</t>
        </is>
      </c>
      <c r="E297" s="645" t="s"/>
      <c r="F297" s="2" t="inlineStr">
        <is>
          <t>☐</t>
        </is>
      </c>
      <c r="G297" s="2" t="inlineStr">
        <is>
          <t>☐</t>
        </is>
      </c>
      <c r="H297" s="645" t="s"/>
      <c r="I297" s="2" t="inlineStr">
        <is>
          <t>☐</t>
        </is>
      </c>
      <c r="J297" s="2" t="inlineStr">
        <is>
          <t>☐</t>
        </is>
      </c>
      <c r="K297" s="701" t="s"/>
    </row>
    <row r="298" spans="1:11">
      <c r="A298" s="645" t="s"/>
      <c r="B298" s="645" t="s"/>
      <c r="C298" s="645" t="s"/>
      <c r="D298" s="2" t="inlineStr">
        <is>
          <t>☐</t>
        </is>
      </c>
      <c r="E298" s="645" t="s"/>
      <c r="F298" s="2" t="inlineStr">
        <is>
          <t>☐</t>
        </is>
      </c>
      <c r="G298" s="2" t="inlineStr">
        <is>
          <t>☐</t>
        </is>
      </c>
      <c r="H298" s="645" t="s"/>
      <c r="I298" s="2" t="inlineStr">
        <is>
          <t>☐</t>
        </is>
      </c>
      <c r="J298" s="2" t="inlineStr">
        <is>
          <t>☐</t>
        </is>
      </c>
      <c r="K298" s="701" t="s"/>
    </row>
    <row r="299" spans="1:11">
      <c r="A299" s="645" t="s"/>
      <c r="B299" s="645" t="s"/>
      <c r="C299" s="645" t="s"/>
      <c r="D299" s="2" t="inlineStr">
        <is>
          <t>☐</t>
        </is>
      </c>
      <c r="E299" s="645" t="s"/>
      <c r="F299" s="2" t="inlineStr">
        <is>
          <t>☐</t>
        </is>
      </c>
      <c r="G299" s="2" t="inlineStr">
        <is>
          <t>☐</t>
        </is>
      </c>
      <c r="H299" s="645" t="s"/>
      <c r="I299" s="2" t="inlineStr">
        <is>
          <t>☐</t>
        </is>
      </c>
      <c r="J299" s="2" t="inlineStr">
        <is>
          <t>☐</t>
        </is>
      </c>
      <c r="K299" s="701" t="s"/>
    </row>
    <row r="300" spans="1:11">
      <c r="A300" s="645" t="s"/>
      <c r="B300" s="645" t="s"/>
      <c r="C300" s="645" t="s"/>
      <c r="D300" s="2" t="inlineStr">
        <is>
          <t>☐</t>
        </is>
      </c>
      <c r="E300" s="645" t="s"/>
      <c r="F300" s="2" t="inlineStr">
        <is>
          <t>☐</t>
        </is>
      </c>
      <c r="G300" s="2" t="inlineStr">
        <is>
          <t>☐</t>
        </is>
      </c>
      <c r="H300" s="645" t="s"/>
      <c r="I300" s="2" t="inlineStr">
        <is>
          <t>☐</t>
        </is>
      </c>
      <c r="J300" s="2" t="inlineStr">
        <is>
          <t>☐</t>
        </is>
      </c>
      <c r="K300" s="701" t="s"/>
    </row>
    <row r="301" spans="1:11">
      <c r="A301" s="645" t="s"/>
      <c r="B301" s="645" t="s"/>
      <c r="C301" s="645" t="s"/>
      <c r="D301" s="2" t="inlineStr">
        <is>
          <t>☐</t>
        </is>
      </c>
      <c r="E301" s="645" t="s"/>
      <c r="F301" s="2" t="inlineStr">
        <is>
          <t>☐</t>
        </is>
      </c>
      <c r="G301" s="2" t="inlineStr">
        <is>
          <t>☐</t>
        </is>
      </c>
      <c r="H301" s="645" t="s"/>
      <c r="I301" s="2" t="inlineStr">
        <is>
          <t>☐</t>
        </is>
      </c>
      <c r="J301" s="2" t="inlineStr">
        <is>
          <t>☐</t>
        </is>
      </c>
      <c r="K301" s="701" t="s"/>
    </row>
    <row r="302" spans="1:11">
      <c r="A302" s="645" t="s"/>
      <c r="B302" s="645" t="s"/>
      <c r="C302" s="645" t="s"/>
      <c r="D302" s="2" t="inlineStr">
        <is>
          <t>☐</t>
        </is>
      </c>
      <c r="E302" s="645" t="s"/>
      <c r="F302" s="2" t="inlineStr">
        <is>
          <t>☐</t>
        </is>
      </c>
      <c r="G302" s="2" t="inlineStr">
        <is>
          <t>☐</t>
        </is>
      </c>
      <c r="H302" s="645" t="s"/>
      <c r="I302" s="2" t="inlineStr">
        <is>
          <t>☐</t>
        </is>
      </c>
      <c r="J302" s="2" t="inlineStr">
        <is>
          <t>☐</t>
        </is>
      </c>
      <c r="K302" s="701" t="s"/>
    </row>
    <row r="303" spans="1:11">
      <c r="A303" s="645" t="s"/>
      <c r="B303" s="645" t="s"/>
      <c r="C303" s="645" t="s"/>
      <c r="D303" s="2" t="inlineStr">
        <is>
          <t>☐</t>
        </is>
      </c>
      <c r="E303" s="645" t="s"/>
      <c r="F303" s="2" t="inlineStr">
        <is>
          <t>☐</t>
        </is>
      </c>
      <c r="G303" s="2" t="inlineStr">
        <is>
          <t>☐</t>
        </is>
      </c>
      <c r="H303" s="645" t="s"/>
      <c r="I303" s="2" t="inlineStr">
        <is>
          <t>☐</t>
        </is>
      </c>
      <c r="J303" s="2" t="inlineStr">
        <is>
          <t>☐</t>
        </is>
      </c>
      <c r="K303" s="701" t="s"/>
    </row>
    <row r="304" spans="1:11">
      <c r="A304" s="645" t="s"/>
      <c r="B304" s="645" t="s"/>
      <c r="C304" s="645" t="s"/>
      <c r="D304" s="2" t="inlineStr">
        <is>
          <t>☐</t>
        </is>
      </c>
      <c r="E304" s="645" t="s"/>
      <c r="F304" s="2" t="inlineStr">
        <is>
          <t>☐</t>
        </is>
      </c>
      <c r="G304" s="2" t="inlineStr">
        <is>
          <t>☐</t>
        </is>
      </c>
      <c r="H304" s="645" t="s"/>
      <c r="I304" s="2" t="inlineStr">
        <is>
          <t>☐</t>
        </is>
      </c>
      <c r="J304" s="2" t="inlineStr">
        <is>
          <t>☐</t>
        </is>
      </c>
      <c r="K304" s="701" t="s"/>
    </row>
    <row r="305" spans="1:11">
      <c r="A305" s="645" t="s"/>
      <c r="B305" s="645" t="s"/>
      <c r="C305" s="645" t="s"/>
      <c r="D305" s="2" t="inlineStr">
        <is>
          <t>☐</t>
        </is>
      </c>
      <c r="E305" s="645" t="s"/>
      <c r="F305" s="2" t="inlineStr">
        <is>
          <t>☐</t>
        </is>
      </c>
      <c r="G305" s="2" t="inlineStr">
        <is>
          <t>☐</t>
        </is>
      </c>
      <c r="H305" s="645" t="s"/>
      <c r="I305" s="2" t="inlineStr">
        <is>
          <t>☐</t>
        </is>
      </c>
      <c r="J305" s="2" t="inlineStr">
        <is>
          <t>☐</t>
        </is>
      </c>
      <c r="K305" s="701" t="s"/>
    </row>
    <row r="306" spans="1:11">
      <c r="A306" s="645" t="s"/>
      <c r="B306" s="645" t="s"/>
      <c r="C306" s="645" t="s"/>
      <c r="D306" s="2" t="inlineStr">
        <is>
          <t>☐</t>
        </is>
      </c>
      <c r="E306" s="645" t="s"/>
      <c r="F306" s="2" t="inlineStr">
        <is>
          <t>☐</t>
        </is>
      </c>
      <c r="G306" s="2" t="inlineStr">
        <is>
          <t>☐</t>
        </is>
      </c>
      <c r="H306" s="645" t="s"/>
      <c r="I306" s="2" t="inlineStr">
        <is>
          <t>☐</t>
        </is>
      </c>
      <c r="J306" s="2" t="inlineStr">
        <is>
          <t>☐</t>
        </is>
      </c>
      <c r="K306" s="701" t="s"/>
    </row>
    <row r="307" spans="1:11">
      <c r="A307" s="645" t="s"/>
      <c r="B307" s="645" t="s"/>
      <c r="C307" s="645" t="s"/>
      <c r="D307" s="2" t="inlineStr">
        <is>
          <t>☐</t>
        </is>
      </c>
      <c r="E307" s="645" t="s"/>
      <c r="F307" s="2" t="inlineStr">
        <is>
          <t>☐</t>
        </is>
      </c>
      <c r="G307" s="2" t="inlineStr">
        <is>
          <t>☐</t>
        </is>
      </c>
      <c r="H307" s="645" t="s"/>
      <c r="I307" s="2" t="inlineStr">
        <is>
          <t>☐</t>
        </is>
      </c>
      <c r="J307" s="2" t="inlineStr">
        <is>
          <t>☐</t>
        </is>
      </c>
      <c r="K307" s="701" t="s"/>
    </row>
    <row r="308" spans="1:11">
      <c r="A308" s="645" t="s"/>
      <c r="B308" s="645" t="s"/>
      <c r="C308" s="645" t="s"/>
      <c r="D308" s="2" t="inlineStr">
        <is>
          <t>☐</t>
        </is>
      </c>
      <c r="E308" s="645" t="s"/>
      <c r="F308" s="2" t="inlineStr">
        <is>
          <t>☐</t>
        </is>
      </c>
      <c r="G308" s="2" t="inlineStr">
        <is>
          <t>☐</t>
        </is>
      </c>
      <c r="H308" s="645" t="s"/>
      <c r="I308" s="2" t="inlineStr">
        <is>
          <t>☐</t>
        </is>
      </c>
      <c r="J308" s="2" t="inlineStr">
        <is>
          <t>☐</t>
        </is>
      </c>
      <c r="K308" s="701" t="s"/>
    </row>
    <row r="309" spans="1:11">
      <c r="A309" s="645" t="s"/>
      <c r="B309" s="645" t="s"/>
      <c r="C309" s="645" t="s"/>
      <c r="D309" s="2" t="inlineStr">
        <is>
          <t>☐</t>
        </is>
      </c>
      <c r="E309" s="645" t="s"/>
      <c r="F309" s="2" t="inlineStr">
        <is>
          <t>☐</t>
        </is>
      </c>
      <c r="G309" s="2" t="inlineStr">
        <is>
          <t>☐</t>
        </is>
      </c>
      <c r="H309" s="645" t="s"/>
      <c r="I309" s="2" t="inlineStr">
        <is>
          <t>☐</t>
        </is>
      </c>
      <c r="J309" s="2" t="inlineStr">
        <is>
          <t>☐</t>
        </is>
      </c>
      <c r="K309" s="701" t="s"/>
    </row>
    <row r="310" spans="1:11">
      <c r="A310" s="645" t="s"/>
      <c r="B310" s="645" t="s"/>
      <c r="C310" s="645" t="s"/>
      <c r="D310" s="2" t="inlineStr">
        <is>
          <t>☐</t>
        </is>
      </c>
      <c r="E310" s="645" t="s"/>
      <c r="F310" s="2" t="inlineStr">
        <is>
          <t>☐</t>
        </is>
      </c>
      <c r="G310" s="2" t="inlineStr">
        <is>
          <t>☐</t>
        </is>
      </c>
      <c r="H310" s="645" t="s"/>
      <c r="I310" s="2" t="inlineStr">
        <is>
          <t>☐</t>
        </is>
      </c>
      <c r="J310" s="2" t="inlineStr">
        <is>
          <t>☐</t>
        </is>
      </c>
      <c r="K310" s="701" t="s"/>
    </row>
    <row r="311" spans="1:11">
      <c r="A311" s="645" t="s"/>
      <c r="B311" s="645" t="s"/>
      <c r="C311" s="645" t="s"/>
      <c r="D311" s="2" t="inlineStr">
        <is>
          <t>☐</t>
        </is>
      </c>
      <c r="E311" s="645" t="s"/>
      <c r="F311" s="2" t="inlineStr">
        <is>
          <t>☐</t>
        </is>
      </c>
      <c r="G311" s="2" t="inlineStr">
        <is>
          <t>☐</t>
        </is>
      </c>
      <c r="H311" s="645" t="s"/>
      <c r="I311" s="2" t="inlineStr">
        <is>
          <t>☐</t>
        </is>
      </c>
      <c r="J311" s="2" t="inlineStr">
        <is>
          <t>☐</t>
        </is>
      </c>
      <c r="K311" s="701" t="s"/>
    </row>
    <row r="312" spans="1:11">
      <c r="A312" s="645" t="s"/>
      <c r="B312" s="645" t="s"/>
      <c r="C312" s="645" t="s"/>
      <c r="D312" s="2" t="inlineStr">
        <is>
          <t>☐</t>
        </is>
      </c>
      <c r="E312" s="645" t="s"/>
      <c r="F312" s="2" t="inlineStr">
        <is>
          <t>☐</t>
        </is>
      </c>
      <c r="G312" s="2" t="inlineStr">
        <is>
          <t>☐</t>
        </is>
      </c>
      <c r="H312" s="645" t="s"/>
      <c r="I312" s="2" t="inlineStr">
        <is>
          <t>☐</t>
        </is>
      </c>
      <c r="J312" s="2" t="inlineStr">
        <is>
          <t>☐</t>
        </is>
      </c>
      <c r="K312" s="701" t="s"/>
    </row>
    <row r="313" spans="1:11">
      <c r="A313" s="645" t="s"/>
      <c r="B313" s="645" t="s"/>
      <c r="C313" s="645" t="s"/>
      <c r="D313" s="2" t="inlineStr">
        <is>
          <t>☐</t>
        </is>
      </c>
      <c r="E313" s="645" t="s"/>
      <c r="F313" s="2" t="inlineStr">
        <is>
          <t>☐</t>
        </is>
      </c>
      <c r="G313" s="2" t="inlineStr">
        <is>
          <t>☐</t>
        </is>
      </c>
      <c r="H313" s="645" t="s"/>
      <c r="I313" s="2" t="inlineStr">
        <is>
          <t>☐</t>
        </is>
      </c>
      <c r="J313" s="2" t="inlineStr">
        <is>
          <t>☐</t>
        </is>
      </c>
      <c r="K313" s="701" t="s"/>
    </row>
    <row r="314" spans="1:11">
      <c r="A314" s="645" t="s"/>
      <c r="B314" s="645" t="s"/>
      <c r="C314" s="645" t="s"/>
      <c r="D314" s="2" t="inlineStr">
        <is>
          <t>☐</t>
        </is>
      </c>
      <c r="E314" s="645" t="s"/>
      <c r="F314" s="2" t="inlineStr">
        <is>
          <t>☐</t>
        </is>
      </c>
      <c r="G314" s="2" t="inlineStr">
        <is>
          <t>☐</t>
        </is>
      </c>
      <c r="H314" s="645" t="s"/>
      <c r="I314" s="2" t="inlineStr">
        <is>
          <t>☐</t>
        </is>
      </c>
      <c r="J314" s="2" t="inlineStr">
        <is>
          <t>☐</t>
        </is>
      </c>
      <c r="K314" s="701" t="s"/>
    </row>
    <row r="315" spans="1:11">
      <c r="A315" s="645" t="s"/>
      <c r="B315" s="645" t="s"/>
      <c r="C315" s="645" t="s"/>
      <c r="D315" s="2" t="inlineStr">
        <is>
          <t>☐</t>
        </is>
      </c>
      <c r="E315" s="645" t="s"/>
      <c r="F315" s="2" t="inlineStr">
        <is>
          <t>☐</t>
        </is>
      </c>
      <c r="G315" s="2" t="inlineStr">
        <is>
          <t>☐</t>
        </is>
      </c>
      <c r="H315" s="645" t="s"/>
      <c r="I315" s="2" t="inlineStr">
        <is>
          <t>☐</t>
        </is>
      </c>
      <c r="J315" s="2" t="inlineStr">
        <is>
          <t>☐</t>
        </is>
      </c>
      <c r="K315" s="701" t="s"/>
    </row>
    <row r="316" spans="1:11">
      <c r="A316" s="645" t="s"/>
      <c r="B316" s="645" t="s"/>
      <c r="C316" s="645" t="s"/>
      <c r="D316" s="2" t="inlineStr">
        <is>
          <t>☐</t>
        </is>
      </c>
      <c r="E316" s="645" t="s"/>
      <c r="F316" s="2" t="inlineStr">
        <is>
          <t>☐</t>
        </is>
      </c>
      <c r="G316" s="2" t="inlineStr">
        <is>
          <t>☐</t>
        </is>
      </c>
      <c r="H316" s="645" t="s"/>
      <c r="I316" s="2" t="inlineStr">
        <is>
          <t>☐</t>
        </is>
      </c>
      <c r="J316" s="2" t="inlineStr">
        <is>
          <t>☐</t>
        </is>
      </c>
      <c r="K316" s="701" t="s"/>
    </row>
    <row r="317" spans="1:11">
      <c r="A317" s="645" t="s"/>
      <c r="B317" s="645" t="s"/>
      <c r="C317" s="645" t="s"/>
      <c r="D317" s="2" t="inlineStr">
        <is>
          <t>☐</t>
        </is>
      </c>
      <c r="E317" s="645" t="s"/>
      <c r="F317" s="2" t="inlineStr">
        <is>
          <t>☐</t>
        </is>
      </c>
      <c r="G317" s="2" t="inlineStr">
        <is>
          <t>☐</t>
        </is>
      </c>
      <c r="H317" s="645" t="s"/>
      <c r="I317" s="2" t="inlineStr">
        <is>
          <t>☐</t>
        </is>
      </c>
      <c r="J317" s="2" t="inlineStr">
        <is>
          <t>☐</t>
        </is>
      </c>
      <c r="K317" s="701" t="s"/>
    </row>
    <row r="318" spans="1:11">
      <c r="A318" s="645" t="s"/>
      <c r="B318" s="645" t="s"/>
      <c r="C318" s="645" t="s"/>
      <c r="D318" s="2" t="inlineStr">
        <is>
          <t>☐</t>
        </is>
      </c>
      <c r="E318" s="645" t="s"/>
      <c r="F318" s="2" t="inlineStr">
        <is>
          <t>☐</t>
        </is>
      </c>
      <c r="G318" s="2" t="inlineStr">
        <is>
          <t>☐</t>
        </is>
      </c>
      <c r="H318" s="645" t="s"/>
      <c r="I318" s="2" t="inlineStr">
        <is>
          <t>☐</t>
        </is>
      </c>
      <c r="J318" s="2" t="inlineStr">
        <is>
          <t>☐</t>
        </is>
      </c>
      <c r="K318" s="701" t="s"/>
    </row>
    <row r="319" spans="1:11">
      <c r="A319" s="645" t="s"/>
      <c r="B319" s="645" t="s"/>
      <c r="C319" s="645" t="s"/>
      <c r="D319" s="2" t="inlineStr">
        <is>
          <t>☐</t>
        </is>
      </c>
      <c r="E319" s="645" t="s"/>
      <c r="F319" s="2" t="inlineStr">
        <is>
          <t>☐</t>
        </is>
      </c>
      <c r="G319" s="2" t="inlineStr">
        <is>
          <t>☐</t>
        </is>
      </c>
      <c r="H319" s="645" t="s"/>
      <c r="I319" s="2" t="inlineStr">
        <is>
          <t>☐</t>
        </is>
      </c>
      <c r="J319" s="2" t="inlineStr">
        <is>
          <t>☐</t>
        </is>
      </c>
      <c r="K319" s="701" t="s"/>
    </row>
    <row r="320" spans="1:11">
      <c r="A320" s="645" t="s"/>
      <c r="B320" s="645" t="s"/>
      <c r="C320" s="645" t="s"/>
      <c r="D320" s="2" t="inlineStr">
        <is>
          <t>☐</t>
        </is>
      </c>
      <c r="E320" s="645" t="s"/>
      <c r="F320" s="2" t="inlineStr">
        <is>
          <t>☐</t>
        </is>
      </c>
      <c r="G320" s="2" t="inlineStr">
        <is>
          <t>☐</t>
        </is>
      </c>
      <c r="H320" s="645" t="s"/>
      <c r="I320" s="2" t="inlineStr">
        <is>
          <t>☐</t>
        </is>
      </c>
      <c r="J320" s="2" t="inlineStr">
        <is>
          <t>☐</t>
        </is>
      </c>
      <c r="K320" s="701" t="s"/>
    </row>
    <row r="321" spans="1:11">
      <c r="A321" s="645" t="s"/>
      <c r="B321" s="645" t="s"/>
      <c r="C321" s="645" t="s"/>
      <c r="D321" s="2" t="inlineStr">
        <is>
          <t>☐</t>
        </is>
      </c>
      <c r="E321" s="645" t="s"/>
      <c r="F321" s="2" t="inlineStr">
        <is>
          <t>☐</t>
        </is>
      </c>
      <c r="G321" s="2" t="inlineStr">
        <is>
          <t>☐</t>
        </is>
      </c>
      <c r="H321" s="645" t="s"/>
      <c r="I321" s="2" t="inlineStr">
        <is>
          <t>☐</t>
        </is>
      </c>
      <c r="J321" s="2" t="inlineStr">
        <is>
          <t>☐</t>
        </is>
      </c>
      <c r="K321" s="701" t="s"/>
    </row>
    <row r="322" spans="1:11">
      <c r="A322" s="645" t="s"/>
      <c r="B322" s="645" t="s"/>
      <c r="C322" s="645" t="s"/>
      <c r="D322" s="2" t="inlineStr">
        <is>
          <t>☐</t>
        </is>
      </c>
      <c r="E322" s="645" t="s"/>
      <c r="F322" s="2" t="inlineStr">
        <is>
          <t>☐</t>
        </is>
      </c>
      <c r="G322" s="2" t="inlineStr">
        <is>
          <t>☐</t>
        </is>
      </c>
      <c r="H322" s="645" t="s"/>
      <c r="I322" s="2" t="inlineStr">
        <is>
          <t>☐</t>
        </is>
      </c>
      <c r="J322" s="2" t="inlineStr">
        <is>
          <t>☐</t>
        </is>
      </c>
      <c r="K322" s="701" t="s"/>
    </row>
    <row r="323" spans="1:11">
      <c r="A323" s="645" t="s"/>
      <c r="B323" s="645" t="s"/>
      <c r="C323" s="645" t="s"/>
      <c r="D323" s="2" t="inlineStr">
        <is>
          <t>☐</t>
        </is>
      </c>
      <c r="E323" s="645" t="s"/>
      <c r="F323" s="2" t="inlineStr">
        <is>
          <t>☐</t>
        </is>
      </c>
      <c r="G323" s="2" t="inlineStr">
        <is>
          <t>☐</t>
        </is>
      </c>
      <c r="H323" s="645" t="s"/>
      <c r="I323" s="2" t="inlineStr">
        <is>
          <t>☐</t>
        </is>
      </c>
      <c r="J323" s="2" t="inlineStr">
        <is>
          <t>☐</t>
        </is>
      </c>
      <c r="K323" s="701" t="s"/>
    </row>
    <row r="324" spans="1:11">
      <c r="A324" s="645" t="s"/>
      <c r="B324" s="645" t="s"/>
      <c r="C324" s="645" t="s"/>
      <c r="D324" s="2" t="inlineStr">
        <is>
          <t>☐</t>
        </is>
      </c>
      <c r="E324" s="645" t="s"/>
      <c r="F324" s="2" t="inlineStr">
        <is>
          <t>☐</t>
        </is>
      </c>
      <c r="G324" s="2" t="inlineStr">
        <is>
          <t>☐</t>
        </is>
      </c>
      <c r="H324" s="645" t="s"/>
      <c r="I324" s="2" t="inlineStr">
        <is>
          <t>☐</t>
        </is>
      </c>
      <c r="J324" s="2" t="inlineStr">
        <is>
          <t>☐</t>
        </is>
      </c>
      <c r="K324" s="701" t="s"/>
    </row>
    <row r="325" spans="1:11">
      <c r="A325" s="645" t="s"/>
      <c r="B325" s="645" t="s"/>
      <c r="C325" s="645" t="s"/>
      <c r="D325" s="2" t="inlineStr">
        <is>
          <t>☐</t>
        </is>
      </c>
      <c r="E325" s="645" t="s"/>
      <c r="F325" s="2" t="inlineStr">
        <is>
          <t>☐</t>
        </is>
      </c>
      <c r="G325" s="2" t="inlineStr">
        <is>
          <t>☐</t>
        </is>
      </c>
      <c r="H325" s="645" t="s"/>
      <c r="I325" s="2" t="inlineStr">
        <is>
          <t>☐</t>
        </is>
      </c>
      <c r="J325" s="2" t="inlineStr">
        <is>
          <t>☐</t>
        </is>
      </c>
      <c r="K325" s="701" t="s"/>
    </row>
    <row r="326" spans="1:11">
      <c r="A326" s="645" t="s"/>
      <c r="B326" s="645" t="s"/>
      <c r="C326" s="645" t="s"/>
      <c r="D326" s="2" t="inlineStr">
        <is>
          <t>☐</t>
        </is>
      </c>
      <c r="E326" s="645" t="s"/>
      <c r="F326" s="2" t="inlineStr">
        <is>
          <t>☐</t>
        </is>
      </c>
      <c r="G326" s="2" t="inlineStr">
        <is>
          <t>☐</t>
        </is>
      </c>
      <c r="H326" s="645" t="s"/>
      <c r="I326" s="2" t="inlineStr">
        <is>
          <t>☐</t>
        </is>
      </c>
      <c r="J326" s="2" t="inlineStr">
        <is>
          <t>☐</t>
        </is>
      </c>
      <c r="K326" s="701" t="s"/>
    </row>
    <row r="327" spans="1:11">
      <c r="A327" s="645" t="s"/>
      <c r="B327" s="645" t="s"/>
      <c r="C327" s="645" t="s"/>
      <c r="D327" s="2" t="inlineStr">
        <is>
          <t>☐</t>
        </is>
      </c>
      <c r="E327" s="645" t="s"/>
      <c r="F327" s="2" t="inlineStr">
        <is>
          <t>☐</t>
        </is>
      </c>
      <c r="G327" s="2" t="inlineStr">
        <is>
          <t>☐</t>
        </is>
      </c>
      <c r="H327" s="645" t="s"/>
      <c r="I327" s="2" t="inlineStr">
        <is>
          <t>☐</t>
        </is>
      </c>
      <c r="J327" s="2" t="inlineStr">
        <is>
          <t>☐</t>
        </is>
      </c>
      <c r="K327" s="701" t="s"/>
    </row>
    <row r="328" spans="1:11">
      <c r="A328" s="645" t="s"/>
      <c r="B328" s="645" t="s"/>
      <c r="C328" s="645" t="s"/>
      <c r="D328" s="2" t="inlineStr">
        <is>
          <t>☐</t>
        </is>
      </c>
      <c r="E328" s="645" t="s"/>
      <c r="F328" s="2" t="inlineStr">
        <is>
          <t>☐</t>
        </is>
      </c>
      <c r="G328" s="2" t="inlineStr">
        <is>
          <t>☐</t>
        </is>
      </c>
      <c r="H328" s="645" t="s"/>
      <c r="I328" s="2" t="inlineStr">
        <is>
          <t>☐</t>
        </is>
      </c>
      <c r="J328" s="2" t="inlineStr">
        <is>
          <t>☐</t>
        </is>
      </c>
      <c r="K328" s="701" t="s"/>
    </row>
    <row r="329" spans="1:11">
      <c r="A329" s="645" t="s"/>
      <c r="B329" s="645" t="s"/>
      <c r="C329" s="645" t="s"/>
      <c r="D329" s="2" t="inlineStr">
        <is>
          <t>☐</t>
        </is>
      </c>
      <c r="E329" s="645" t="s"/>
      <c r="F329" s="2" t="inlineStr">
        <is>
          <t>☐</t>
        </is>
      </c>
      <c r="G329" s="2" t="inlineStr">
        <is>
          <t>☐</t>
        </is>
      </c>
      <c r="H329" s="645" t="s"/>
      <c r="I329" s="2" t="inlineStr">
        <is>
          <t>☐</t>
        </is>
      </c>
      <c r="J329" s="2" t="inlineStr">
        <is>
          <t>☐</t>
        </is>
      </c>
      <c r="K329" s="701" t="s"/>
    </row>
    <row r="330" spans="1:11">
      <c r="A330" s="645" t="s"/>
      <c r="B330" s="645" t="s"/>
      <c r="C330" s="645" t="s"/>
      <c r="D330" s="2" t="inlineStr">
        <is>
          <t>☐</t>
        </is>
      </c>
      <c r="E330" s="645" t="s"/>
      <c r="F330" s="2" t="inlineStr">
        <is>
          <t>☐</t>
        </is>
      </c>
      <c r="G330" s="2" t="inlineStr">
        <is>
          <t>☐</t>
        </is>
      </c>
      <c r="H330" s="645" t="s"/>
      <c r="I330" s="2" t="inlineStr">
        <is>
          <t>☐</t>
        </is>
      </c>
      <c r="J330" s="2" t="inlineStr">
        <is>
          <t>☐</t>
        </is>
      </c>
      <c r="K330" s="701" t="s"/>
    </row>
    <row r="331" spans="1:11">
      <c r="A331" s="645" t="s"/>
      <c r="B331" s="645" t="s"/>
      <c r="C331" s="645" t="s"/>
      <c r="D331" s="2" t="inlineStr">
        <is>
          <t>☐</t>
        </is>
      </c>
      <c r="E331" s="645" t="s"/>
      <c r="F331" s="2" t="inlineStr">
        <is>
          <t>☐</t>
        </is>
      </c>
      <c r="G331" s="2" t="inlineStr">
        <is>
          <t>☐</t>
        </is>
      </c>
      <c r="H331" s="645" t="s"/>
      <c r="I331" s="2" t="inlineStr">
        <is>
          <t>☐</t>
        </is>
      </c>
      <c r="J331" s="2" t="inlineStr">
        <is>
          <t>☐</t>
        </is>
      </c>
      <c r="K331" s="701" t="s"/>
    </row>
    <row r="332" spans="1:11">
      <c r="A332" s="645" t="s"/>
      <c r="B332" s="645" t="s"/>
      <c r="C332" s="645" t="s"/>
      <c r="D332" s="2" t="inlineStr">
        <is>
          <t>☐</t>
        </is>
      </c>
      <c r="E332" s="645" t="s"/>
      <c r="F332" s="2" t="inlineStr">
        <is>
          <t>☐</t>
        </is>
      </c>
      <c r="G332" s="2" t="inlineStr">
        <is>
          <t>☐</t>
        </is>
      </c>
      <c r="H332" s="645" t="s"/>
      <c r="I332" s="2" t="inlineStr">
        <is>
          <t>☐</t>
        </is>
      </c>
      <c r="J332" s="2" t="inlineStr">
        <is>
          <t>☐</t>
        </is>
      </c>
      <c r="K332" s="701" t="s"/>
    </row>
    <row r="333" spans="1:11">
      <c r="A333" s="645" t="s"/>
      <c r="B333" s="645" t="s"/>
      <c r="C333" s="645" t="s"/>
      <c r="D333" s="2" t="inlineStr">
        <is>
          <t>☐</t>
        </is>
      </c>
      <c r="E333" s="645" t="s"/>
      <c r="F333" s="2" t="inlineStr">
        <is>
          <t>☐</t>
        </is>
      </c>
      <c r="G333" s="2" t="inlineStr">
        <is>
          <t>☐</t>
        </is>
      </c>
      <c r="H333" s="645" t="s"/>
      <c r="I333" s="2" t="inlineStr">
        <is>
          <t>☐</t>
        </is>
      </c>
      <c r="J333" s="2" t="inlineStr">
        <is>
          <t>☐</t>
        </is>
      </c>
      <c r="K333" s="701" t="s"/>
    </row>
    <row r="334" spans="1:11">
      <c r="A334" s="645" t="s"/>
      <c r="B334" s="645" t="s"/>
      <c r="C334" s="645" t="s"/>
      <c r="D334" s="2" t="inlineStr">
        <is>
          <t>☐</t>
        </is>
      </c>
      <c r="E334" s="645" t="s"/>
      <c r="F334" s="2" t="inlineStr">
        <is>
          <t>☐</t>
        </is>
      </c>
      <c r="G334" s="2" t="inlineStr">
        <is>
          <t>☐</t>
        </is>
      </c>
      <c r="H334" s="645" t="s"/>
      <c r="I334" s="2" t="inlineStr">
        <is>
          <t>☐</t>
        </is>
      </c>
      <c r="J334" s="2" t="inlineStr">
        <is>
          <t>☐</t>
        </is>
      </c>
      <c r="K334" s="701" t="s"/>
    </row>
    <row r="335" spans="1:11">
      <c r="A335" s="645" t="s"/>
      <c r="B335" s="645" t="s"/>
      <c r="C335" s="645" t="s"/>
      <c r="D335" s="2" t="inlineStr">
        <is>
          <t>☐</t>
        </is>
      </c>
      <c r="E335" s="645" t="s"/>
      <c r="F335" s="2" t="inlineStr">
        <is>
          <t>☐</t>
        </is>
      </c>
      <c r="G335" s="2" t="inlineStr">
        <is>
          <t>☐</t>
        </is>
      </c>
      <c r="H335" s="645" t="s"/>
      <c r="I335" s="2" t="inlineStr">
        <is>
          <t>☐</t>
        </is>
      </c>
      <c r="J335" s="2" t="inlineStr">
        <is>
          <t>☐</t>
        </is>
      </c>
      <c r="K335" s="701" t="s"/>
    </row>
    <row r="336" spans="1:11">
      <c r="A336" s="645" t="s"/>
      <c r="B336" s="645" t="s"/>
      <c r="C336" s="645" t="s"/>
      <c r="D336" s="2" t="inlineStr">
        <is>
          <t>☐</t>
        </is>
      </c>
      <c r="E336" s="645" t="s"/>
      <c r="F336" s="2" t="inlineStr">
        <is>
          <t>☐</t>
        </is>
      </c>
      <c r="G336" s="2" t="inlineStr">
        <is>
          <t>☐</t>
        </is>
      </c>
      <c r="H336" s="645" t="s"/>
      <c r="I336" s="2" t="inlineStr">
        <is>
          <t>☐</t>
        </is>
      </c>
      <c r="J336" s="2" t="inlineStr">
        <is>
          <t>☐</t>
        </is>
      </c>
      <c r="K336" s="701" t="s"/>
    </row>
    <row r="337" spans="1:11">
      <c r="A337" s="645" t="s"/>
      <c r="B337" s="645" t="s"/>
      <c r="C337" s="645" t="s"/>
      <c r="D337" s="2" t="inlineStr">
        <is>
          <t>☐</t>
        </is>
      </c>
      <c r="E337" s="645" t="s"/>
      <c r="F337" s="2" t="inlineStr">
        <is>
          <t>☐</t>
        </is>
      </c>
      <c r="G337" s="2" t="inlineStr">
        <is>
          <t>☐</t>
        </is>
      </c>
      <c r="H337" s="645" t="s"/>
      <c r="I337" s="2" t="inlineStr">
        <is>
          <t>☐</t>
        </is>
      </c>
      <c r="J337" s="2" t="inlineStr">
        <is>
          <t>☐</t>
        </is>
      </c>
      <c r="K337" s="701" t="s"/>
    </row>
    <row r="338" spans="1:11">
      <c r="A338" s="645" t="s"/>
      <c r="B338" s="645" t="s"/>
      <c r="C338" s="645" t="s"/>
      <c r="D338" s="2" t="inlineStr">
        <is>
          <t>☐</t>
        </is>
      </c>
      <c r="E338" s="645" t="s"/>
      <c r="F338" s="2" t="inlineStr">
        <is>
          <t>☐</t>
        </is>
      </c>
      <c r="G338" s="2" t="inlineStr">
        <is>
          <t>☐</t>
        </is>
      </c>
      <c r="H338" s="645" t="s"/>
      <c r="I338" s="2" t="inlineStr">
        <is>
          <t>☐</t>
        </is>
      </c>
      <c r="J338" s="2" t="inlineStr">
        <is>
          <t>☐</t>
        </is>
      </c>
      <c r="K338" s="701" t="s"/>
    </row>
    <row r="339" spans="1:11">
      <c r="A339" s="645" t="s"/>
      <c r="B339" s="645" t="s"/>
      <c r="C339" s="645" t="s"/>
      <c r="D339" s="2" t="inlineStr">
        <is>
          <t>☐</t>
        </is>
      </c>
      <c r="E339" s="645" t="s"/>
      <c r="F339" s="2" t="inlineStr">
        <is>
          <t>☐</t>
        </is>
      </c>
      <c r="G339" s="2" t="inlineStr">
        <is>
          <t>☐</t>
        </is>
      </c>
      <c r="H339" s="645" t="s"/>
      <c r="I339" s="2" t="inlineStr">
        <is>
          <t>☐</t>
        </is>
      </c>
      <c r="J339" s="2" t="inlineStr">
        <is>
          <t>☐</t>
        </is>
      </c>
      <c r="K339" s="701" t="s"/>
    </row>
    <row r="340" spans="1:11">
      <c r="A340" s="645" t="s"/>
      <c r="B340" s="645" t="s"/>
      <c r="C340" s="645" t="s"/>
      <c r="D340" s="2" t="inlineStr">
        <is>
          <t>☐</t>
        </is>
      </c>
      <c r="E340" s="645" t="s"/>
      <c r="F340" s="2" t="inlineStr">
        <is>
          <t>☐</t>
        </is>
      </c>
      <c r="G340" s="2" t="inlineStr">
        <is>
          <t>☐</t>
        </is>
      </c>
      <c r="H340" s="645" t="s"/>
      <c r="I340" s="2" t="inlineStr">
        <is>
          <t>☐</t>
        </is>
      </c>
      <c r="J340" s="2" t="inlineStr">
        <is>
          <t>☐</t>
        </is>
      </c>
      <c r="K340" s="701" t="s"/>
    </row>
    <row r="341" spans="1:11">
      <c r="A341" s="645" t="s"/>
      <c r="B341" s="645" t="s"/>
      <c r="C341" s="645" t="s"/>
      <c r="D341" s="2" t="inlineStr">
        <is>
          <t>☐</t>
        </is>
      </c>
      <c r="E341" s="645" t="s"/>
      <c r="F341" s="2" t="inlineStr">
        <is>
          <t>☐</t>
        </is>
      </c>
      <c r="G341" s="2" t="inlineStr">
        <is>
          <t>☐</t>
        </is>
      </c>
      <c r="H341" s="645" t="s"/>
      <c r="I341" s="2" t="inlineStr">
        <is>
          <t>☐</t>
        </is>
      </c>
      <c r="J341" s="2" t="inlineStr">
        <is>
          <t>☐</t>
        </is>
      </c>
      <c r="K341" s="701" t="s"/>
    </row>
    <row r="342" spans="1:11">
      <c r="A342" s="645" t="s"/>
      <c r="B342" s="645" t="s"/>
      <c r="C342" s="645" t="s"/>
      <c r="D342" s="2" t="inlineStr">
        <is>
          <t>☐</t>
        </is>
      </c>
      <c r="E342" s="645" t="s"/>
      <c r="F342" s="2" t="inlineStr">
        <is>
          <t>☐</t>
        </is>
      </c>
      <c r="G342" s="2" t="inlineStr">
        <is>
          <t>☐</t>
        </is>
      </c>
      <c r="H342" s="645" t="s"/>
      <c r="I342" s="2" t="inlineStr">
        <is>
          <t>☐</t>
        </is>
      </c>
      <c r="J342" s="2" t="inlineStr">
        <is>
          <t>☐</t>
        </is>
      </c>
      <c r="K342" s="701" t="s"/>
    </row>
    <row r="343" spans="1:11">
      <c r="A343" s="645" t="s"/>
      <c r="B343" s="645" t="s"/>
      <c r="C343" s="645" t="s"/>
      <c r="D343" s="2" t="inlineStr">
        <is>
          <t>☐</t>
        </is>
      </c>
      <c r="E343" s="645" t="s"/>
      <c r="F343" s="2" t="inlineStr">
        <is>
          <t>☐</t>
        </is>
      </c>
      <c r="G343" s="2" t="inlineStr">
        <is>
          <t>☐</t>
        </is>
      </c>
      <c r="H343" s="645" t="s"/>
      <c r="I343" s="2" t="inlineStr">
        <is>
          <t>☐</t>
        </is>
      </c>
      <c r="J343" s="2" t="inlineStr">
        <is>
          <t>☐</t>
        </is>
      </c>
      <c r="K343" s="701" t="s"/>
    </row>
    <row r="344" spans="1:11">
      <c r="A344" s="645" t="s"/>
      <c r="B344" s="645" t="s"/>
      <c r="C344" s="645" t="s"/>
      <c r="D344" s="2" t="inlineStr">
        <is>
          <t>☐</t>
        </is>
      </c>
      <c r="E344" s="645" t="s"/>
      <c r="F344" s="2" t="inlineStr">
        <is>
          <t>☐</t>
        </is>
      </c>
      <c r="G344" s="2" t="inlineStr">
        <is>
          <t>☐</t>
        </is>
      </c>
      <c r="H344" s="645" t="s"/>
      <c r="I344" s="2" t="inlineStr">
        <is>
          <t>☐</t>
        </is>
      </c>
      <c r="J344" s="2" t="inlineStr">
        <is>
          <t>☐</t>
        </is>
      </c>
      <c r="K344" s="701" t="s"/>
    </row>
    <row r="345" spans="1:11">
      <c r="A345" s="645" t="s"/>
      <c r="B345" s="645" t="s"/>
      <c r="C345" s="645" t="s"/>
      <c r="D345" s="2" t="inlineStr">
        <is>
          <t>☐</t>
        </is>
      </c>
      <c r="E345" s="645" t="s"/>
      <c r="F345" s="2" t="inlineStr">
        <is>
          <t>☐</t>
        </is>
      </c>
      <c r="G345" s="2" t="inlineStr">
        <is>
          <t>☐</t>
        </is>
      </c>
      <c r="H345" s="645" t="s"/>
      <c r="I345" s="2" t="inlineStr">
        <is>
          <t>☐</t>
        </is>
      </c>
      <c r="J345" s="2" t="inlineStr">
        <is>
          <t>☐</t>
        </is>
      </c>
      <c r="K345" s="701" t="s"/>
    </row>
    <row r="346" spans="1:11">
      <c r="A346" s="645" t="s"/>
      <c r="B346" s="645" t="s"/>
      <c r="C346" s="645" t="s"/>
      <c r="D346" s="2" t="inlineStr">
        <is>
          <t>☐</t>
        </is>
      </c>
      <c r="E346" s="645" t="s"/>
      <c r="F346" s="2" t="inlineStr">
        <is>
          <t>☐</t>
        </is>
      </c>
      <c r="G346" s="2" t="inlineStr">
        <is>
          <t>☐</t>
        </is>
      </c>
      <c r="H346" s="645" t="s"/>
      <c r="I346" s="2" t="inlineStr">
        <is>
          <t>☐</t>
        </is>
      </c>
      <c r="J346" s="2" t="inlineStr">
        <is>
          <t>☐</t>
        </is>
      </c>
      <c r="K346" s="701" t="s"/>
    </row>
    <row r="347" spans="1:11">
      <c r="A347" s="645" t="s"/>
      <c r="B347" s="645" t="s"/>
      <c r="C347" s="645" t="s"/>
      <c r="D347" s="2" t="inlineStr">
        <is>
          <t>☐</t>
        </is>
      </c>
      <c r="E347" s="645" t="s"/>
      <c r="F347" s="2" t="inlineStr">
        <is>
          <t>☐</t>
        </is>
      </c>
      <c r="G347" s="2" t="inlineStr">
        <is>
          <t>☐</t>
        </is>
      </c>
      <c r="H347" s="645" t="s"/>
      <c r="I347" s="2" t="inlineStr">
        <is>
          <t>☐</t>
        </is>
      </c>
      <c r="J347" s="2" t="inlineStr">
        <is>
          <t>☐</t>
        </is>
      </c>
      <c r="K347" s="701" t="s"/>
    </row>
    <row r="348" spans="1:11">
      <c r="A348" s="645" t="s"/>
      <c r="B348" s="645" t="s"/>
      <c r="C348" s="645" t="s"/>
      <c r="D348" s="2" t="inlineStr">
        <is>
          <t>☐</t>
        </is>
      </c>
      <c r="E348" s="645" t="s"/>
      <c r="F348" s="2" t="inlineStr">
        <is>
          <t>☐</t>
        </is>
      </c>
      <c r="G348" s="2" t="inlineStr">
        <is>
          <t>☐</t>
        </is>
      </c>
      <c r="H348" s="645" t="s"/>
      <c r="I348" s="2" t="inlineStr">
        <is>
          <t>☐</t>
        </is>
      </c>
      <c r="J348" s="2" t="inlineStr">
        <is>
          <t>☐</t>
        </is>
      </c>
      <c r="K348" s="701" t="s"/>
    </row>
    <row r="349" spans="1:11">
      <c r="A349" s="645" t="s"/>
      <c r="B349" s="645" t="s"/>
      <c r="C349" s="645" t="s"/>
      <c r="D349" s="2" t="inlineStr">
        <is>
          <t>☐</t>
        </is>
      </c>
      <c r="E349" s="645" t="s"/>
      <c r="F349" s="2" t="inlineStr">
        <is>
          <t>☐</t>
        </is>
      </c>
      <c r="G349" s="2" t="inlineStr">
        <is>
          <t>☐</t>
        </is>
      </c>
      <c r="H349" s="645" t="s"/>
      <c r="I349" s="2" t="inlineStr">
        <is>
          <t>☐</t>
        </is>
      </c>
      <c r="J349" s="2" t="inlineStr">
        <is>
          <t>☐</t>
        </is>
      </c>
      <c r="K349" s="701" t="s"/>
    </row>
    <row r="350" spans="1:11">
      <c r="A350" s="645" t="s"/>
      <c r="B350" s="645" t="s"/>
      <c r="C350" s="645" t="s"/>
      <c r="D350" s="2" t="inlineStr">
        <is>
          <t>☐</t>
        </is>
      </c>
      <c r="E350" s="645" t="s"/>
      <c r="F350" s="2" t="inlineStr">
        <is>
          <t>☐</t>
        </is>
      </c>
      <c r="G350" s="2" t="inlineStr">
        <is>
          <t>☐</t>
        </is>
      </c>
      <c r="H350" s="645" t="s"/>
      <c r="I350" s="2" t="inlineStr">
        <is>
          <t>☐</t>
        </is>
      </c>
      <c r="J350" s="2" t="inlineStr">
        <is>
          <t>☐</t>
        </is>
      </c>
      <c r="K350" s="701" t="s"/>
    </row>
    <row r="351" spans="1:11">
      <c r="A351" s="645" t="s"/>
      <c r="B351" s="645" t="s"/>
      <c r="C351" s="645" t="s"/>
      <c r="D351" s="2" t="inlineStr">
        <is>
          <t>☐</t>
        </is>
      </c>
      <c r="E351" s="645" t="s"/>
      <c r="F351" s="2" t="inlineStr">
        <is>
          <t>☐</t>
        </is>
      </c>
      <c r="G351" s="2" t="inlineStr">
        <is>
          <t>☐</t>
        </is>
      </c>
      <c r="H351" s="645" t="s"/>
      <c r="I351" s="2" t="inlineStr">
        <is>
          <t>☐</t>
        </is>
      </c>
      <c r="J351" s="2" t="inlineStr">
        <is>
          <t>☐</t>
        </is>
      </c>
      <c r="K351" s="701" t="s"/>
    </row>
    <row r="352" spans="1:11">
      <c r="A352" s="645" t="s"/>
      <c r="B352" s="645" t="s"/>
      <c r="C352" s="645" t="s"/>
      <c r="D352" s="2" t="inlineStr">
        <is>
          <t>☐</t>
        </is>
      </c>
      <c r="E352" s="645" t="s"/>
      <c r="F352" s="2" t="inlineStr">
        <is>
          <t>☐</t>
        </is>
      </c>
      <c r="G352" s="2" t="inlineStr">
        <is>
          <t>☐</t>
        </is>
      </c>
      <c r="H352" s="645" t="s"/>
      <c r="I352" s="2" t="inlineStr">
        <is>
          <t>☐</t>
        </is>
      </c>
      <c r="J352" s="2" t="inlineStr">
        <is>
          <t>☐</t>
        </is>
      </c>
      <c r="K352" s="701" t="s"/>
    </row>
    <row r="353" spans="1:11">
      <c r="A353" s="645" t="s"/>
      <c r="B353" s="645" t="s"/>
      <c r="C353" s="645" t="s"/>
      <c r="D353" s="2" t="inlineStr">
        <is>
          <t>☐</t>
        </is>
      </c>
      <c r="E353" s="645" t="s"/>
      <c r="F353" s="2" t="inlineStr">
        <is>
          <t>☐</t>
        </is>
      </c>
      <c r="G353" s="2" t="inlineStr">
        <is>
          <t>☐</t>
        </is>
      </c>
      <c r="H353" s="645" t="s"/>
      <c r="I353" s="2" t="inlineStr">
        <is>
          <t>☐</t>
        </is>
      </c>
      <c r="J353" s="2" t="inlineStr">
        <is>
          <t>☐</t>
        </is>
      </c>
      <c r="K353" s="701" t="s"/>
    </row>
    <row r="354" spans="1:11">
      <c r="A354" s="645" t="s"/>
      <c r="B354" s="645" t="s"/>
      <c r="C354" s="645" t="s"/>
      <c r="D354" s="2" t="inlineStr">
        <is>
          <t>☐</t>
        </is>
      </c>
      <c r="E354" s="645" t="s"/>
      <c r="F354" s="2" t="inlineStr">
        <is>
          <t>☐</t>
        </is>
      </c>
      <c r="G354" s="2" t="inlineStr">
        <is>
          <t>☐</t>
        </is>
      </c>
      <c r="H354" s="645" t="s"/>
      <c r="I354" s="2" t="inlineStr">
        <is>
          <t>☐</t>
        </is>
      </c>
      <c r="J354" s="2" t="inlineStr">
        <is>
          <t>☐</t>
        </is>
      </c>
      <c r="K354" s="701" t="s"/>
    </row>
    <row r="355" spans="1:11">
      <c r="A355" s="645" t="s"/>
      <c r="B355" s="645" t="s"/>
      <c r="C355" s="645" t="s"/>
      <c r="D355" s="2" t="inlineStr">
        <is>
          <t>☐</t>
        </is>
      </c>
      <c r="E355" s="645" t="s"/>
      <c r="F355" s="2" t="inlineStr">
        <is>
          <t>☐</t>
        </is>
      </c>
      <c r="G355" s="2" t="inlineStr">
        <is>
          <t>☐</t>
        </is>
      </c>
      <c r="H355" s="645" t="s"/>
      <c r="I355" s="2" t="inlineStr">
        <is>
          <t>☐</t>
        </is>
      </c>
      <c r="J355" s="2" t="inlineStr">
        <is>
          <t>☐</t>
        </is>
      </c>
      <c r="K355" s="701" t="s"/>
    </row>
    <row r="356" spans="1:11">
      <c r="A356" s="645" t="s"/>
      <c r="B356" s="645" t="s"/>
      <c r="C356" s="645" t="s"/>
      <c r="D356" s="2" t="inlineStr">
        <is>
          <t>☐</t>
        </is>
      </c>
      <c r="E356" s="645" t="s"/>
      <c r="F356" s="2" t="inlineStr">
        <is>
          <t>☐</t>
        </is>
      </c>
      <c r="G356" s="2" t="inlineStr">
        <is>
          <t>☐</t>
        </is>
      </c>
      <c r="H356" s="645" t="s"/>
      <c r="I356" s="2" t="inlineStr">
        <is>
          <t>☐</t>
        </is>
      </c>
      <c r="J356" s="2" t="inlineStr">
        <is>
          <t>☐</t>
        </is>
      </c>
      <c r="K356" s="701" t="s"/>
    </row>
    <row r="357" spans="1:11">
      <c r="A357" s="645" t="s"/>
      <c r="B357" s="645" t="s"/>
      <c r="C357" s="645" t="s"/>
      <c r="D357" s="2" t="inlineStr">
        <is>
          <t>☐</t>
        </is>
      </c>
      <c r="E357" s="645" t="s"/>
      <c r="F357" s="2" t="inlineStr">
        <is>
          <t>☐</t>
        </is>
      </c>
      <c r="G357" s="2" t="inlineStr">
        <is>
          <t>☐</t>
        </is>
      </c>
      <c r="H357" s="645" t="s"/>
      <c r="I357" s="2" t="inlineStr">
        <is>
          <t>☐</t>
        </is>
      </c>
      <c r="J357" s="2" t="inlineStr">
        <is>
          <t>☐</t>
        </is>
      </c>
      <c r="K357" s="701" t="s"/>
    </row>
    <row r="358" spans="1:11">
      <c r="A358" s="645" t="s"/>
      <c r="B358" s="645" t="s"/>
      <c r="C358" s="645" t="s"/>
      <c r="D358" s="2" t="inlineStr">
        <is>
          <t>☐</t>
        </is>
      </c>
      <c r="E358" s="645" t="s"/>
      <c r="F358" s="2" t="inlineStr">
        <is>
          <t>☐</t>
        </is>
      </c>
      <c r="G358" s="2" t="inlineStr">
        <is>
          <t>☐</t>
        </is>
      </c>
      <c r="H358" s="645" t="s"/>
      <c r="I358" s="2" t="inlineStr">
        <is>
          <t>☐</t>
        </is>
      </c>
      <c r="J358" s="2" t="inlineStr">
        <is>
          <t>☐</t>
        </is>
      </c>
      <c r="K358" s="701" t="s"/>
    </row>
    <row r="359" spans="1:11">
      <c r="A359" s="645" t="s"/>
      <c r="B359" s="645" t="s"/>
      <c r="C359" s="645" t="s"/>
      <c r="D359" s="2" t="inlineStr">
        <is>
          <t>☐</t>
        </is>
      </c>
      <c r="E359" s="645" t="s"/>
      <c r="F359" s="2" t="inlineStr">
        <is>
          <t>☐</t>
        </is>
      </c>
      <c r="G359" s="2" t="inlineStr">
        <is>
          <t>☐</t>
        </is>
      </c>
      <c r="H359" s="645" t="s"/>
      <c r="I359" s="2" t="inlineStr">
        <is>
          <t>☐</t>
        </is>
      </c>
      <c r="J359" s="2" t="inlineStr">
        <is>
          <t>☐</t>
        </is>
      </c>
      <c r="K359" s="701" t="s"/>
    </row>
    <row r="360" spans="1:11">
      <c r="A360" s="645" t="s"/>
      <c r="B360" s="645" t="s"/>
      <c r="C360" s="645" t="s"/>
      <c r="D360" s="2" t="inlineStr">
        <is>
          <t>☐</t>
        </is>
      </c>
      <c r="E360" s="645" t="s"/>
      <c r="F360" s="2" t="inlineStr">
        <is>
          <t>☐</t>
        </is>
      </c>
      <c r="G360" s="2" t="inlineStr">
        <is>
          <t>☐</t>
        </is>
      </c>
      <c r="H360" s="645" t="s"/>
      <c r="I360" s="2" t="inlineStr">
        <is>
          <t>☐</t>
        </is>
      </c>
      <c r="J360" s="2" t="inlineStr">
        <is>
          <t>☐</t>
        </is>
      </c>
      <c r="K360" s="701" t="s"/>
    </row>
    <row r="361" spans="1:11">
      <c r="A361" s="645" t="s"/>
      <c r="B361" s="645" t="s"/>
      <c r="C361" s="645" t="s"/>
      <c r="D361" s="2" t="inlineStr">
        <is>
          <t>☐</t>
        </is>
      </c>
      <c r="E361" s="645" t="s"/>
      <c r="F361" s="2" t="inlineStr">
        <is>
          <t>☐</t>
        </is>
      </c>
      <c r="G361" s="2" t="inlineStr">
        <is>
          <t>☐</t>
        </is>
      </c>
      <c r="H361" s="645" t="s"/>
      <c r="I361" s="2" t="inlineStr">
        <is>
          <t>☐</t>
        </is>
      </c>
      <c r="J361" s="2" t="inlineStr">
        <is>
          <t>☐</t>
        </is>
      </c>
      <c r="K361" s="701" t="s"/>
    </row>
    <row r="362" spans="1:11">
      <c r="A362" s="645" t="s"/>
      <c r="B362" s="645" t="s"/>
      <c r="C362" s="645" t="s"/>
      <c r="D362" s="2" t="inlineStr">
        <is>
          <t>☐</t>
        </is>
      </c>
      <c r="E362" s="645" t="s"/>
      <c r="F362" s="2" t="inlineStr">
        <is>
          <t>☐</t>
        </is>
      </c>
      <c r="G362" s="2" t="inlineStr">
        <is>
          <t>☐</t>
        </is>
      </c>
      <c r="H362" s="645" t="s"/>
      <c r="I362" s="2" t="inlineStr">
        <is>
          <t>☐</t>
        </is>
      </c>
      <c r="J362" s="2" t="inlineStr">
        <is>
          <t>☐</t>
        </is>
      </c>
      <c r="K362" s="701" t="s"/>
    </row>
    <row r="363" spans="1:11">
      <c r="A363" s="645" t="s"/>
      <c r="B363" s="645" t="s"/>
      <c r="C363" s="645" t="s"/>
      <c r="D363" s="2" t="inlineStr">
        <is>
          <t>☐</t>
        </is>
      </c>
      <c r="E363" s="645" t="s"/>
      <c r="F363" s="2" t="inlineStr">
        <is>
          <t>☐</t>
        </is>
      </c>
      <c r="G363" s="2" t="inlineStr">
        <is>
          <t>☐</t>
        </is>
      </c>
      <c r="H363" s="645" t="s"/>
      <c r="I363" s="2" t="inlineStr">
        <is>
          <t>☐</t>
        </is>
      </c>
      <c r="J363" s="2" t="inlineStr">
        <is>
          <t>☐</t>
        </is>
      </c>
      <c r="K363" s="701" t="s"/>
    </row>
    <row r="364" spans="1:11">
      <c r="A364" s="645" t="s"/>
      <c r="B364" s="645" t="s"/>
      <c r="C364" s="645" t="s"/>
      <c r="D364" s="2" t="inlineStr">
        <is>
          <t>☐</t>
        </is>
      </c>
      <c r="E364" s="645" t="s"/>
      <c r="F364" s="2" t="inlineStr">
        <is>
          <t>☐</t>
        </is>
      </c>
      <c r="G364" s="2" t="inlineStr">
        <is>
          <t>☐</t>
        </is>
      </c>
      <c r="H364" s="645" t="s"/>
      <c r="I364" s="2" t="inlineStr">
        <is>
          <t>☐</t>
        </is>
      </c>
      <c r="J364" s="2" t="inlineStr">
        <is>
          <t>☐</t>
        </is>
      </c>
      <c r="K364" s="701" t="s"/>
    </row>
    <row r="365" spans="1:11">
      <c r="A365" s="645" t="s"/>
      <c r="B365" s="645" t="s"/>
      <c r="C365" s="645" t="s"/>
      <c r="D365" s="2" t="inlineStr">
        <is>
          <t>☐</t>
        </is>
      </c>
      <c r="E365" s="645" t="s"/>
      <c r="F365" s="2" t="inlineStr">
        <is>
          <t>☐</t>
        </is>
      </c>
      <c r="G365" s="2" t="inlineStr">
        <is>
          <t>☐</t>
        </is>
      </c>
      <c r="H365" s="645" t="s"/>
      <c r="I365" s="2" t="inlineStr">
        <is>
          <t>☐</t>
        </is>
      </c>
      <c r="J365" s="2" t="inlineStr">
        <is>
          <t>☐</t>
        </is>
      </c>
      <c r="K365" s="701" t="s"/>
    </row>
    <row r="366" spans="1:11">
      <c r="A366" s="645" t="s"/>
      <c r="B366" s="645" t="s"/>
      <c r="C366" s="645" t="s"/>
      <c r="D366" s="2" t="inlineStr">
        <is>
          <t>☐</t>
        </is>
      </c>
      <c r="E366" s="645" t="s"/>
      <c r="F366" s="2" t="inlineStr">
        <is>
          <t>☐</t>
        </is>
      </c>
      <c r="G366" s="2" t="inlineStr">
        <is>
          <t>☐</t>
        </is>
      </c>
      <c r="H366" s="645" t="s"/>
      <c r="I366" s="2" t="inlineStr">
        <is>
          <t>☐</t>
        </is>
      </c>
      <c r="J366" s="2" t="inlineStr">
        <is>
          <t>☐</t>
        </is>
      </c>
      <c r="K366" s="701" t="s"/>
    </row>
    <row r="367" spans="1:11">
      <c r="A367" s="645" t="s"/>
      <c r="B367" s="645" t="s"/>
      <c r="C367" s="645" t="s"/>
      <c r="D367" s="2" t="inlineStr">
        <is>
          <t>☐</t>
        </is>
      </c>
      <c r="E367" s="645" t="s"/>
      <c r="F367" s="2" t="inlineStr">
        <is>
          <t>☐</t>
        </is>
      </c>
      <c r="G367" s="2" t="inlineStr">
        <is>
          <t>☐</t>
        </is>
      </c>
      <c r="H367" s="645" t="s"/>
      <c r="I367" s="2" t="inlineStr">
        <is>
          <t>☐</t>
        </is>
      </c>
      <c r="J367" s="2" t="inlineStr">
        <is>
          <t>☐</t>
        </is>
      </c>
      <c r="K367" s="701" t="s"/>
    </row>
    <row r="368" spans="1:11">
      <c r="A368" s="649" t="s"/>
      <c r="B368" s="649" t="s"/>
      <c r="C368" s="649" t="s"/>
      <c r="D368" s="2" t="inlineStr">
        <is>
          <t>☐</t>
        </is>
      </c>
      <c r="E368" s="649" t="s"/>
      <c r="F368" s="2" t="inlineStr">
        <is>
          <t>☐</t>
        </is>
      </c>
      <c r="G368" s="2" t="inlineStr">
        <is>
          <t>☐</t>
        </is>
      </c>
      <c r="H368" s="649" t="s"/>
      <c r="I368" s="2" t="inlineStr">
        <is>
          <t>☐</t>
        </is>
      </c>
      <c r="J368" s="2" t="inlineStr">
        <is>
          <t>☐</t>
        </is>
      </c>
      <c r="K368" s="711" t="s"/>
    </row>
    <row r="369" spans="1:11">
      <c r="A369" s="649" t="s"/>
      <c r="B369" s="649" t="s"/>
      <c r="C369" s="649" t="s"/>
      <c r="D369" s="2" t="inlineStr">
        <is>
          <t>☐</t>
        </is>
      </c>
      <c r="E369" s="649" t="s"/>
      <c r="F369" s="2" t="inlineStr">
        <is>
          <t>☐</t>
        </is>
      </c>
      <c r="G369" s="2" t="inlineStr">
        <is>
          <t>☐</t>
        </is>
      </c>
      <c r="H369" s="649" t="s"/>
      <c r="I369" s="2" t="inlineStr">
        <is>
          <t>☐</t>
        </is>
      </c>
      <c r="J369" s="2" t="inlineStr">
        <is>
          <t>☐</t>
        </is>
      </c>
      <c r="K369" s="711" t="s"/>
    </row>
    <row r="370" spans="1:11">
      <c r="A370" s="649" t="s"/>
      <c r="B370" s="649" t="s"/>
      <c r="C370" s="649" t="s"/>
      <c r="D370" s="2" t="inlineStr">
        <is>
          <t>☐</t>
        </is>
      </c>
      <c r="E370" s="649" t="s"/>
      <c r="F370" s="2" t="inlineStr">
        <is>
          <t>☐</t>
        </is>
      </c>
      <c r="G370" s="2" t="inlineStr">
        <is>
          <t>☐</t>
        </is>
      </c>
      <c r="H370" s="649" t="s"/>
      <c r="I370" s="2" t="inlineStr">
        <is>
          <t>☐</t>
        </is>
      </c>
      <c r="J370" s="2" t="inlineStr">
        <is>
          <t>☐</t>
        </is>
      </c>
      <c r="K370" s="711" t="s"/>
    </row>
    <row r="371" spans="1:11">
      <c r="A371" s="649" t="s"/>
      <c r="B371" s="649" t="s"/>
      <c r="C371" s="649" t="s"/>
      <c r="D371" s="2" t="inlineStr">
        <is>
          <t>☐</t>
        </is>
      </c>
      <c r="E371" s="649" t="s"/>
      <c r="F371" s="2" t="inlineStr">
        <is>
          <t>☐</t>
        </is>
      </c>
      <c r="G371" s="2" t="inlineStr">
        <is>
          <t>☐</t>
        </is>
      </c>
      <c r="H371" s="649" t="s"/>
      <c r="I371" s="2" t="inlineStr">
        <is>
          <t>☐</t>
        </is>
      </c>
      <c r="J371" s="2" t="inlineStr">
        <is>
          <t>☐</t>
        </is>
      </c>
      <c r="K371" s="711" t="s"/>
    </row>
    <row r="372" spans="1:11">
      <c r="A372" s="649" t="s"/>
      <c r="B372" s="649" t="s"/>
      <c r="C372" s="649" t="s"/>
      <c r="D372" s="2" t="inlineStr">
        <is>
          <t>☐</t>
        </is>
      </c>
      <c r="E372" s="649" t="s"/>
      <c r="F372" s="2" t="inlineStr">
        <is>
          <t>☐</t>
        </is>
      </c>
      <c r="G372" s="2" t="inlineStr">
        <is>
          <t>☐</t>
        </is>
      </c>
      <c r="H372" s="649" t="s"/>
      <c r="I372" s="2" t="inlineStr">
        <is>
          <t>☐</t>
        </is>
      </c>
      <c r="J372" s="2" t="inlineStr">
        <is>
          <t>☐</t>
        </is>
      </c>
      <c r="K372" s="711" t="s"/>
    </row>
    <row r="373" spans="1:11">
      <c r="A373" s="649" t="s"/>
      <c r="B373" s="649" t="s"/>
      <c r="C373" s="649" t="s"/>
      <c r="D373" s="2" t="inlineStr">
        <is>
          <t>☐</t>
        </is>
      </c>
      <c r="E373" s="649" t="s"/>
      <c r="F373" s="2" t="inlineStr">
        <is>
          <t>☐</t>
        </is>
      </c>
      <c r="G373" s="2" t="inlineStr">
        <is>
          <t>☐</t>
        </is>
      </c>
      <c r="H373" s="649" t="s"/>
      <c r="I373" s="2" t="inlineStr">
        <is>
          <t>☐</t>
        </is>
      </c>
      <c r="J373" s="2" t="inlineStr">
        <is>
          <t>☐</t>
        </is>
      </c>
      <c r="K373" s="711" t="s"/>
    </row>
    <row r="374" spans="1:11">
      <c r="A374" s="649" t="s"/>
      <c r="B374" s="649" t="s"/>
      <c r="C374" s="649" t="s"/>
      <c r="D374" s="2" t="inlineStr">
        <is>
          <t>☐</t>
        </is>
      </c>
      <c r="E374" s="649" t="s"/>
      <c r="F374" s="2" t="inlineStr">
        <is>
          <t>☐</t>
        </is>
      </c>
      <c r="G374" s="2" t="inlineStr">
        <is>
          <t>☐</t>
        </is>
      </c>
      <c r="H374" s="649" t="s"/>
      <c r="I374" s="2" t="inlineStr">
        <is>
          <t>☐</t>
        </is>
      </c>
      <c r="J374" s="2" t="inlineStr">
        <is>
          <t>☐</t>
        </is>
      </c>
      <c r="K374" s="711" t="s"/>
    </row>
  </sheetData>
  <mergeCells count="16">
    <mergeCell ref="I2:J2"/>
    <mergeCell ref="B2:B3"/>
    <mergeCell ref="C2:C3"/>
    <mergeCell ref="K2:K3"/>
    <mergeCell ref="D2:H2"/>
    <mergeCell ref="C62:C63"/>
    <mergeCell ref="D62:D63"/>
    <mergeCell ref="E62:E63"/>
    <mergeCell ref="F62:F63"/>
    <mergeCell ref="G62:G63"/>
    <mergeCell ref="H62:H63"/>
    <mergeCell ref="I62:I63"/>
    <mergeCell ref="K62:K63"/>
    <mergeCell ref="J62:J63"/>
    <mergeCell ref="A2:A3"/>
    <mergeCell ref="A1:K1"/>
  </mergeCells>
  <dataValidations>
    <dataValidation type="list" errorStyle="stop" allowBlank="1" showDropDown="0" showInputMessage="1" showErrorMessage="1" prompt="" sqref="K4:K1048576">
      <formula1>"发起人,郑一凡,黄芷晴,赵梓萱,陈珍妮,巩让,王立德,李新鹏,唐一夫,叶天立,"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办公用品详情">
    <tabColor/>
  </sheetPr>
  <dimension ref="F11"/>
  <sheetViews>
    <sheetView showGridLines="1" workbookViewId="0"/>
  </sheetViews>
  <sheetFormatPr baseColWidth="13" defaultRowHeight="18" customHeight="1"/>
  <cols>
    <col min="2" max="2" width="17.4023" customWidth="1"/>
  </cols>
  <sheetData>
    <row r="1" spans="1:6">
      <c r="A1" s="712" t="s">
        <v>1557</v>
      </c>
      <c r="B1" s="712" t="s">
        <v>1558</v>
      </c>
      <c r="C1" s="712" t="s">
        <v>1559</v>
      </c>
      <c r="D1" s="712" t="s">
        <v>1560</v>
      </c>
      <c r="E1" s="712" t="s">
        <v>1561</v>
      </c>
      <c r="F1" s="712" t="s">
        <v>1562</v>
      </c>
    </row>
    <row r="2" spans="1:6">
      <c r="A2" s="86" t="s"/>
      <c r="B2" s="86" t="s">
        <v>1563</v>
      </c>
      <c r="C2" s="713">
        <v>46275</v>
      </c>
      <c r="D2" s="86">
        <v>17</v>
      </c>
      <c r="E2" s="86">
        <v>17</v>
      </c>
      <c r="F2" s="86" t="s"/>
    </row>
    <row r="3" spans="1:6">
      <c r="A3" s="86" t="s"/>
      <c r="B3" s="86" t="s">
        <v>1564</v>
      </c>
      <c r="C3" s="713">
        <v>46275</v>
      </c>
      <c r="D3" s="86">
        <v>3</v>
      </c>
      <c r="E3" s="86" t="s"/>
      <c r="F3" s="86">
        <v>3</v>
      </c>
    </row>
    <row r="4" spans="1:6">
      <c r="A4" s="86" t="s"/>
      <c r="B4" s="86" t="s">
        <v>1565</v>
      </c>
      <c r="C4" s="713">
        <v>46275</v>
      </c>
      <c r="D4" s="86">
        <v>36</v>
      </c>
      <c r="E4" s="86" t="s"/>
      <c r="F4" s="86" t="s"/>
    </row>
    <row r="5" spans="1:6">
      <c r="A5" s="86" t="s"/>
      <c r="B5" s="86" t="s">
        <v>1566</v>
      </c>
      <c r="C5" s="713">
        <v>46275</v>
      </c>
      <c r="D5" s="86">
        <v>17</v>
      </c>
      <c r="E5" s="86">
        <v>17</v>
      </c>
      <c r="F5" s="86" t="s"/>
    </row>
    <row r="6" spans="1:6">
      <c r="A6" s="86" t="s"/>
      <c r="B6" s="86" t="s">
        <v>1567</v>
      </c>
      <c r="C6" s="713">
        <v>46275</v>
      </c>
      <c r="D6" s="86">
        <v>17</v>
      </c>
      <c r="E6" s="86" t="s"/>
      <c r="F6" s="86" t="s"/>
    </row>
    <row r="7" spans="1:6">
      <c r="A7" s="86" t="s"/>
      <c r="B7" s="86" t="s">
        <v>1568</v>
      </c>
      <c r="C7" s="713">
        <v>46275</v>
      </c>
      <c r="D7" s="86" t="s">
        <v>1569</v>
      </c>
      <c r="E7" s="86" t="s"/>
      <c r="F7" s="86" t="s"/>
    </row>
    <row r="8" spans="1:6">
      <c r="A8" s="86" t="s"/>
      <c r="B8" s="86" t="s">
        <v>1570</v>
      </c>
      <c r="C8" s="713">
        <v>46275</v>
      </c>
      <c r="D8" s="86" t="s">
        <v>1571</v>
      </c>
      <c r="E8" s="86" t="s"/>
      <c r="F8" s="86" t="s"/>
    </row>
    <row r="9" spans="1:6">
      <c r="A9" s="86" t="s"/>
      <c r="B9" s="86" t="s">
        <v>1572</v>
      </c>
      <c r="C9" s="713">
        <v>46275</v>
      </c>
      <c r="D9" s="86">
        <v>5</v>
      </c>
      <c r="E9" s="86" t="s"/>
      <c r="F9" s="86" t="s"/>
    </row>
    <row r="10" spans="1:6">
      <c r="A10" s="86" t="s"/>
      <c r="B10" s="86" t="s">
        <v>1573</v>
      </c>
      <c r="C10" s="713">
        <v>46275</v>
      </c>
      <c r="D10" s="86" t="s">
        <v>1574</v>
      </c>
      <c r="E10" s="86" t="s"/>
      <c r="F10" s="86" t="s"/>
    </row>
    <row r="11" spans="1:6">
      <c r="A11" s="86" t="s"/>
      <c r="B11" s="86" t="s"/>
      <c r="C11" s="86" t="s"/>
      <c r="D11" s="86" t="s"/>
      <c r="E11" s="86" t="s"/>
      <c r="F11" s="86" t="s"/>
    </row>
  </sheetData>
</worksheet>
</file>

<file path=xl/worksheets/sheet11.xml><?xml version="1.0" encoding="utf-8"?>
<worksheet xmlns="http://schemas.openxmlformats.org/spreadsheetml/2006/main">
  <sheetPr codeName="更新关联人查询">
    <tabColor/>
  </sheetPr>
  <dimension ref="L388"/>
  <sheetViews>
    <sheetView showGridLines="1" workbookViewId="0"/>
  </sheetViews>
  <sheetFormatPr baseColWidth="13" defaultRowHeight="18" customHeight="1"/>
  <cols>
    <col min="1" max="1" width="12.7109" customWidth="1"/>
    <col min="2" max="2" width="53.1406" customWidth="1"/>
    <col min="3" max="3" width="20.7109" customWidth="1"/>
    <col min="4" max="4" width="20.6328" customWidth="1"/>
  </cols>
  <sheetData>
    <row r="1" spans="1:12">
      <c r="A1" s="714" t="s">
        <v>1575</v>
      </c>
      <c r="B1" s="715" t="s">
        <v>1576</v>
      </c>
      <c r="C1" s="716" t="s">
        <v>1577</v>
      </c>
      <c r="D1" s="717" t="s">
        <v>1578</v>
      </c>
      <c r="G1" s="718" t="s"/>
      <c r="H1" s="718" t="s"/>
      <c r="I1" s="718" t="s"/>
      <c r="J1" s="718" t="s"/>
      <c r="K1" s="718" t="s"/>
      <c r="L1" s="718" t="s"/>
    </row>
    <row r="2" spans="1:12">
      <c r="A2" s="719" t="s">
        <v>1579</v>
      </c>
      <c r="B2" s="720" t="s">
        <v>1580</v>
      </c>
      <c r="C2" s="721" t="s">
        <v>1581</v>
      </c>
      <c r="D2" s="722" t="s">
        <v>1582</v>
      </c>
      <c r="E2" s="718" t="s"/>
      <c r="F2" s="718" t="s"/>
      <c r="G2" s="718" t="s"/>
      <c r="H2" s="718" t="s"/>
      <c r="I2" s="718" t="s"/>
      <c r="J2" s="718" t="s"/>
      <c r="K2" s="718" t="s"/>
      <c r="L2" s="718" t="s"/>
    </row>
    <row r="3" spans="1:12">
      <c r="A3" s="719" t="s">
        <v>1579</v>
      </c>
      <c r="B3" s="720" t="s">
        <v>1583</v>
      </c>
      <c r="C3" s="721" t="s">
        <v>1584</v>
      </c>
      <c r="D3" s="722" t="s">
        <v>1582</v>
      </c>
      <c r="E3" s="718" t="s"/>
      <c r="F3" s="718" t="s"/>
      <c r="G3" s="718" t="s"/>
      <c r="H3" s="718" t="s"/>
      <c r="I3" s="718" t="s"/>
      <c r="J3" s="718" t="s"/>
      <c r="K3" s="718" t="s"/>
      <c r="L3" s="718" t="s"/>
    </row>
    <row r="4" spans="1:12">
      <c r="A4" s="719" t="s">
        <v>1579</v>
      </c>
      <c r="B4" s="720" t="s">
        <v>1585</v>
      </c>
      <c r="C4" s="721" t="s">
        <v>1586</v>
      </c>
      <c r="D4" s="722" t="s">
        <v>1582</v>
      </c>
      <c r="E4" s="718" t="s"/>
      <c r="F4" s="718" t="s"/>
      <c r="G4" s="718" t="s"/>
      <c r="H4" s="718" t="s"/>
      <c r="I4" s="718" t="s"/>
      <c r="J4" s="718" t="s"/>
      <c r="K4" s="718" t="s"/>
      <c r="L4" s="718" t="s"/>
    </row>
    <row r="5" spans="1:12">
      <c r="A5" s="719" t="s">
        <v>1579</v>
      </c>
      <c r="B5" s="720" t="s">
        <v>1587</v>
      </c>
      <c r="C5" s="721" t="s">
        <v>1588</v>
      </c>
      <c r="D5" s="722" t="s">
        <v>1582</v>
      </c>
      <c r="E5" s="718" t="s"/>
      <c r="F5" s="718" t="s"/>
      <c r="G5" s="718" t="s"/>
      <c r="H5" s="718" t="s"/>
      <c r="I5" s="718" t="s"/>
      <c r="J5" s="718" t="s"/>
      <c r="K5" s="718" t="s"/>
      <c r="L5" s="718" t="s"/>
    </row>
    <row r="6" spans="1:12">
      <c r="A6" s="723" t="s">
        <v>1579</v>
      </c>
      <c r="B6" s="724" t="s">
        <v>1589</v>
      </c>
      <c r="C6" s="725" t="s">
        <v>1590</v>
      </c>
      <c r="D6" s="726" t="s">
        <v>1582</v>
      </c>
      <c r="E6" s="718" t="s"/>
      <c r="F6" s="718" t="s"/>
      <c r="G6" s="718" t="s"/>
      <c r="H6" s="718" t="s"/>
      <c r="I6" s="718" t="s"/>
      <c r="J6" s="718" t="s"/>
      <c r="K6" s="718" t="s"/>
      <c r="L6" s="718" t="s"/>
    </row>
    <row r="7" spans="1:12">
      <c r="A7" s="719" t="s">
        <v>1579</v>
      </c>
      <c r="B7" s="720" t="s">
        <v>1591</v>
      </c>
      <c r="C7" s="721" t="s">
        <v>1592</v>
      </c>
      <c r="D7" s="720" t="s">
        <v>1582</v>
      </c>
      <c r="E7" s="718" t="s"/>
      <c r="F7" s="718" t="s"/>
      <c r="G7" s="718" t="s"/>
      <c r="H7" s="718" t="s"/>
      <c r="I7" s="718" t="s"/>
      <c r="J7" s="718" t="s"/>
      <c r="K7" s="718" t="s"/>
      <c r="L7" s="718" t="s"/>
    </row>
    <row r="8" spans="1:12">
      <c r="A8" s="719" t="s">
        <v>1579</v>
      </c>
      <c r="B8" s="720" t="s">
        <v>1593</v>
      </c>
      <c r="C8" s="721" t="s">
        <v>1594</v>
      </c>
      <c r="D8" s="720" t="s">
        <v>1582</v>
      </c>
      <c r="E8" s="718" t="s"/>
      <c r="F8" s="718" t="s"/>
      <c r="G8" s="718" t="s"/>
      <c r="H8" s="718" t="s"/>
      <c r="I8" s="718" t="s"/>
      <c r="J8" s="718" t="s"/>
      <c r="K8" s="718" t="s"/>
      <c r="L8" s="718" t="s"/>
    </row>
    <row r="9" spans="1:12">
      <c r="A9" s="719" t="s">
        <v>1579</v>
      </c>
      <c r="B9" s="720" t="s">
        <v>1595</v>
      </c>
      <c r="C9" s="721" t="s">
        <v>1596</v>
      </c>
      <c r="D9" s="720" t="s">
        <v>1582</v>
      </c>
      <c r="E9" s="718" t="s"/>
      <c r="F9" s="718" t="s"/>
      <c r="G9" s="718" t="s"/>
      <c r="H9" s="718" t="s"/>
      <c r="I9" s="718" t="s"/>
      <c r="J9" s="718" t="s"/>
      <c r="K9" s="718" t="s"/>
      <c r="L9" s="718" t="s"/>
    </row>
    <row r="10" spans="1:12">
      <c r="A10" s="719" t="s">
        <v>1579</v>
      </c>
      <c r="B10" s="720" t="s">
        <v>1597</v>
      </c>
      <c r="C10" s="721" t="s">
        <v>1598</v>
      </c>
      <c r="D10" s="720" t="s">
        <v>1582</v>
      </c>
      <c r="E10" s="718" t="s"/>
      <c r="F10" s="718" t="s"/>
      <c r="G10" s="718" t="s"/>
      <c r="H10" s="718" t="s"/>
      <c r="I10" s="718" t="s"/>
      <c r="J10" s="718" t="s"/>
      <c r="K10" s="718" t="s"/>
      <c r="L10" s="718" t="s"/>
    </row>
    <row r="11" spans="1:12">
      <c r="A11" s="719" t="s">
        <v>1579</v>
      </c>
      <c r="B11" s="720" t="s">
        <v>1599</v>
      </c>
      <c r="C11" s="721" t="s">
        <v>1600</v>
      </c>
      <c r="D11" s="720" t="s">
        <v>1582</v>
      </c>
      <c r="E11" s="718" t="s"/>
      <c r="F11" s="718" t="s"/>
      <c r="G11" s="718" t="s"/>
      <c r="H11" s="718" t="s"/>
      <c r="I11" s="718" t="s"/>
      <c r="J11" s="718" t="s"/>
      <c r="K11" s="718" t="s"/>
      <c r="L11" s="718" t="s"/>
    </row>
    <row r="12" spans="1:12">
      <c r="A12" s="719" t="s">
        <v>1579</v>
      </c>
      <c r="B12" s="720" t="s">
        <v>1601</v>
      </c>
      <c r="C12" s="721" t="s">
        <v>1602</v>
      </c>
      <c r="D12" s="720" t="s">
        <v>1582</v>
      </c>
      <c r="E12" s="718" t="s"/>
      <c r="F12" s="718" t="s"/>
      <c r="G12" s="718" t="s"/>
      <c r="H12" s="718" t="s"/>
      <c r="I12" s="718" t="s"/>
      <c r="J12" s="718" t="s"/>
      <c r="K12" s="718" t="s"/>
      <c r="L12" s="718" t="s"/>
    </row>
    <row r="13" spans="1:12">
      <c r="A13" s="719" t="s">
        <v>1579</v>
      </c>
      <c r="B13" s="720" t="s">
        <v>1603</v>
      </c>
      <c r="C13" s="721" t="s">
        <v>1604</v>
      </c>
      <c r="D13" s="720" t="s">
        <v>1582</v>
      </c>
      <c r="E13" s="718" t="s"/>
      <c r="F13" s="718" t="s"/>
      <c r="G13" s="718" t="s"/>
      <c r="H13" s="718" t="s"/>
      <c r="I13" s="718" t="s"/>
      <c r="J13" s="718" t="s"/>
      <c r="K13" s="718" t="s"/>
      <c r="L13" s="718" t="s"/>
    </row>
    <row r="14" spans="1:12">
      <c r="A14" s="719" t="s">
        <v>1579</v>
      </c>
      <c r="B14" s="720" t="s">
        <v>1605</v>
      </c>
      <c r="C14" s="721" t="s">
        <v>1606</v>
      </c>
      <c r="D14" s="720" t="s">
        <v>1582</v>
      </c>
      <c r="E14" s="718" t="s"/>
      <c r="F14" s="718" t="s"/>
      <c r="G14" s="718" t="s"/>
      <c r="H14" s="718" t="s"/>
      <c r="I14" s="718" t="s"/>
      <c r="J14" s="718" t="s"/>
      <c r="K14" s="718" t="s"/>
      <c r="L14" s="718" t="s"/>
    </row>
    <row r="15" spans="1:12">
      <c r="A15" s="719" t="s">
        <v>1579</v>
      </c>
      <c r="B15" s="720" t="s">
        <v>1607</v>
      </c>
      <c r="C15" s="721" t="s">
        <v>1608</v>
      </c>
      <c r="D15" s="720" t="s">
        <v>1582</v>
      </c>
      <c r="E15" s="718" t="s"/>
      <c r="F15" s="718" t="s"/>
      <c r="G15" s="718" t="s"/>
      <c r="H15" s="718" t="s"/>
      <c r="I15" s="718" t="s"/>
      <c r="J15" s="718" t="s"/>
      <c r="K15" s="718" t="s"/>
      <c r="L15" s="718" t="s"/>
    </row>
    <row r="16" spans="1:12">
      <c r="A16" s="719" t="s">
        <v>1579</v>
      </c>
      <c r="B16" s="720" t="s">
        <v>1609</v>
      </c>
      <c r="C16" s="721" t="s">
        <v>1610</v>
      </c>
      <c r="D16" s="720" t="s">
        <v>1582</v>
      </c>
      <c r="E16" s="718" t="s"/>
      <c r="F16" s="718" t="s"/>
      <c r="G16" s="718" t="s"/>
      <c r="H16" s="718" t="s"/>
      <c r="I16" s="718" t="s"/>
      <c r="J16" s="718" t="s"/>
      <c r="K16" s="718" t="s"/>
      <c r="L16" s="718" t="s"/>
    </row>
    <row r="17" spans="1:12">
      <c r="A17" s="719" t="s">
        <v>1579</v>
      </c>
      <c r="B17" s="720" t="s">
        <v>1611</v>
      </c>
      <c r="C17" s="721" t="s">
        <v>1612</v>
      </c>
      <c r="D17" s="720" t="s">
        <v>1582</v>
      </c>
      <c r="E17" s="718" t="s"/>
      <c r="F17" s="718" t="s"/>
      <c r="G17" s="718" t="s"/>
      <c r="H17" s="718" t="s"/>
      <c r="I17" s="718" t="s"/>
      <c r="J17" s="718" t="s"/>
      <c r="K17" s="718" t="s"/>
      <c r="L17" s="718" t="s"/>
    </row>
    <row r="18" spans="1:12">
      <c r="A18" s="719" t="s">
        <v>1579</v>
      </c>
      <c r="B18" s="720" t="s">
        <v>1613</v>
      </c>
      <c r="C18" s="721" t="s">
        <v>1614</v>
      </c>
      <c r="D18" s="720" t="s">
        <v>1582</v>
      </c>
      <c r="E18" s="718" t="s"/>
      <c r="F18" s="718" t="s"/>
      <c r="G18" s="718" t="s"/>
      <c r="H18" s="718" t="s"/>
      <c r="I18" s="718" t="s"/>
      <c r="J18" s="718" t="s"/>
      <c r="K18" s="718" t="s"/>
      <c r="L18" s="718" t="s"/>
    </row>
    <row r="19" spans="1:12">
      <c r="A19" s="719" t="s">
        <v>1579</v>
      </c>
      <c r="B19" s="720" t="s">
        <v>1615</v>
      </c>
      <c r="C19" s="721" t="s">
        <v>1616</v>
      </c>
      <c r="D19" s="720" t="s">
        <v>1582</v>
      </c>
      <c r="E19" s="718" t="s"/>
      <c r="F19" s="718" t="s"/>
      <c r="G19" s="718" t="s"/>
      <c r="H19" s="718" t="s"/>
      <c r="I19" s="718" t="s"/>
      <c r="J19" s="718" t="s"/>
      <c r="K19" s="718" t="s"/>
      <c r="L19" s="718" t="s"/>
    </row>
    <row r="20" spans="1:12">
      <c r="A20" s="719" t="s">
        <v>1579</v>
      </c>
      <c r="B20" s="720" t="s">
        <v>1617</v>
      </c>
      <c r="C20" s="721" t="s">
        <v>1618</v>
      </c>
      <c r="D20" s="720" t="s">
        <v>1582</v>
      </c>
      <c r="E20" s="718" t="s"/>
      <c r="F20" s="718" t="s"/>
      <c r="G20" s="718" t="s"/>
      <c r="H20" s="718" t="s"/>
      <c r="I20" s="718" t="s"/>
      <c r="J20" s="718" t="s"/>
      <c r="K20" s="718" t="s"/>
      <c r="L20" s="718" t="s"/>
    </row>
    <row r="21" spans="1:12">
      <c r="A21" s="719" t="s">
        <v>1579</v>
      </c>
      <c r="B21" s="720" t="s">
        <v>1619</v>
      </c>
      <c r="C21" s="721" t="s">
        <v>1620</v>
      </c>
      <c r="D21" s="720" t="s">
        <v>1582</v>
      </c>
      <c r="E21" s="718" t="s"/>
      <c r="F21" s="718" t="s"/>
      <c r="G21" s="718" t="s"/>
      <c r="H21" s="718" t="s"/>
      <c r="I21" s="718" t="s"/>
      <c r="J21" s="718" t="s"/>
      <c r="K21" s="718" t="s"/>
      <c r="L21" s="718" t="s"/>
    </row>
    <row r="22" spans="1:12">
      <c r="A22" s="719" t="s">
        <v>1579</v>
      </c>
      <c r="B22" s="720" t="s">
        <v>1621</v>
      </c>
      <c r="C22" s="721" t="s">
        <v>1622</v>
      </c>
      <c r="D22" s="720" t="s">
        <v>1582</v>
      </c>
      <c r="E22" s="718" t="s"/>
      <c r="F22" s="718" t="s"/>
      <c r="G22" s="718" t="s"/>
      <c r="H22" s="718" t="s"/>
      <c r="I22" s="718" t="s"/>
      <c r="J22" s="718" t="s"/>
      <c r="K22" s="718" t="s"/>
      <c r="L22" s="718" t="s"/>
    </row>
    <row r="23" spans="1:12">
      <c r="A23" s="719" t="s">
        <v>1579</v>
      </c>
      <c r="B23" s="720" t="s">
        <v>1623</v>
      </c>
      <c r="C23" s="721" t="s">
        <v>1624</v>
      </c>
      <c r="D23" s="720" t="s">
        <v>1582</v>
      </c>
      <c r="E23" s="718" t="s"/>
      <c r="F23" s="718" t="s"/>
      <c r="G23" s="718" t="s"/>
      <c r="H23" s="718" t="s"/>
      <c r="I23" s="718" t="s"/>
      <c r="J23" s="718" t="s"/>
      <c r="K23" s="718" t="s"/>
      <c r="L23" s="718" t="s"/>
    </row>
    <row r="24" spans="1:12">
      <c r="A24" s="719" t="s">
        <v>1579</v>
      </c>
      <c r="B24" s="720" t="s">
        <v>1625</v>
      </c>
      <c r="C24" s="721" t="s">
        <v>1626</v>
      </c>
      <c r="D24" s="720" t="s">
        <v>1582</v>
      </c>
      <c r="E24" s="718" t="s"/>
      <c r="F24" s="718" t="s"/>
      <c r="G24" s="718" t="s"/>
      <c r="H24" s="718" t="s"/>
      <c r="I24" s="718" t="s"/>
      <c r="J24" s="718" t="s"/>
      <c r="K24" s="718" t="s"/>
      <c r="L24" s="718" t="s"/>
    </row>
    <row r="25" spans="1:12">
      <c r="A25" s="719" t="s">
        <v>1579</v>
      </c>
      <c r="B25" s="720" t="s">
        <v>1627</v>
      </c>
      <c r="C25" s="721" t="s">
        <v>1628</v>
      </c>
      <c r="D25" s="720" t="s">
        <v>1582</v>
      </c>
      <c r="E25" s="718" t="s"/>
      <c r="F25" s="718" t="s"/>
      <c r="G25" s="718" t="s"/>
      <c r="H25" s="718" t="s"/>
      <c r="I25" s="718" t="s"/>
      <c r="J25" s="718" t="s"/>
      <c r="K25" s="718" t="s"/>
      <c r="L25" s="718" t="s"/>
    </row>
    <row r="26" spans="1:12">
      <c r="A26" s="719" t="s">
        <v>1579</v>
      </c>
      <c r="B26" s="720" t="s">
        <v>1629</v>
      </c>
      <c r="C26" s="721" t="s">
        <v>1630</v>
      </c>
      <c r="D26" s="720" t="s">
        <v>1582</v>
      </c>
      <c r="E26" s="718" t="s"/>
      <c r="F26" s="718" t="s"/>
      <c r="G26" s="718" t="s"/>
      <c r="H26" s="718" t="s"/>
      <c r="I26" s="718" t="s"/>
      <c r="J26" s="718" t="s"/>
      <c r="K26" s="718" t="s"/>
      <c r="L26" s="718" t="s"/>
    </row>
    <row r="27" spans="1:12">
      <c r="A27" s="719" t="s">
        <v>1579</v>
      </c>
      <c r="B27" s="720" t="s">
        <v>1631</v>
      </c>
      <c r="C27" s="721" t="s">
        <v>1632</v>
      </c>
      <c r="D27" s="720" t="s">
        <v>1582</v>
      </c>
      <c r="E27" s="718" t="s"/>
      <c r="F27" s="718" t="s"/>
      <c r="G27" s="718" t="s"/>
      <c r="H27" s="718" t="s"/>
      <c r="I27" s="718" t="s"/>
      <c r="J27" s="718" t="s"/>
      <c r="K27" s="718" t="s"/>
      <c r="L27" s="718" t="s"/>
    </row>
    <row r="28" spans="1:12">
      <c r="A28" s="719" t="s">
        <v>1579</v>
      </c>
      <c r="B28" s="720" t="s">
        <v>1633</v>
      </c>
      <c r="C28" s="721" t="s">
        <v>1634</v>
      </c>
      <c r="D28" s="720" t="s">
        <v>1582</v>
      </c>
      <c r="E28" s="718" t="s"/>
      <c r="F28" s="718" t="s"/>
      <c r="G28" s="718" t="s"/>
      <c r="H28" s="718" t="s"/>
      <c r="I28" s="718" t="s"/>
      <c r="J28" s="718" t="s"/>
      <c r="K28" s="718" t="s"/>
      <c r="L28" s="718" t="s"/>
    </row>
    <row r="29" spans="1:12">
      <c r="A29" s="719" t="s">
        <v>1579</v>
      </c>
      <c r="B29" s="720" t="s">
        <v>1635</v>
      </c>
      <c r="C29" s="721" t="s">
        <v>1636</v>
      </c>
      <c r="D29" s="720" t="s">
        <v>1582</v>
      </c>
      <c r="E29" s="718" t="s"/>
      <c r="F29" s="718" t="s"/>
      <c r="G29" s="718" t="s"/>
      <c r="H29" s="718" t="s"/>
      <c r="I29" s="718" t="s"/>
      <c r="J29" s="718" t="s"/>
      <c r="K29" s="718" t="s"/>
      <c r="L29" s="718" t="s"/>
    </row>
    <row r="30" spans="1:12">
      <c r="A30" s="719" t="s">
        <v>1579</v>
      </c>
      <c r="B30" s="720" t="s">
        <v>1637</v>
      </c>
      <c r="C30" s="721" t="s">
        <v>1638</v>
      </c>
      <c r="D30" s="720" t="s">
        <v>1582</v>
      </c>
      <c r="E30" s="718" t="s"/>
      <c r="F30" s="718" t="s"/>
      <c r="G30" s="718" t="s"/>
      <c r="H30" s="718" t="s"/>
      <c r="I30" s="718" t="s"/>
      <c r="J30" s="718" t="s"/>
      <c r="K30" s="718" t="s"/>
      <c r="L30" s="718" t="s"/>
    </row>
    <row r="31" spans="1:12">
      <c r="A31" s="719" t="s">
        <v>1579</v>
      </c>
      <c r="B31" s="720" t="s">
        <v>1639</v>
      </c>
      <c r="C31" s="721" t="s">
        <v>1640</v>
      </c>
      <c r="D31" s="720" t="s">
        <v>1582</v>
      </c>
      <c r="E31" s="718" t="s"/>
      <c r="F31" s="718" t="s"/>
      <c r="G31" s="718" t="s"/>
      <c r="H31" s="718" t="s"/>
      <c r="I31" s="718" t="s"/>
      <c r="J31" s="718" t="s"/>
      <c r="K31" s="718" t="s"/>
      <c r="L31" s="718" t="s"/>
    </row>
    <row r="32" spans="1:12">
      <c r="A32" s="719" t="s">
        <v>1579</v>
      </c>
      <c r="B32" s="720" t="s">
        <v>1641</v>
      </c>
      <c r="C32" s="721" t="s">
        <v>1642</v>
      </c>
      <c r="D32" s="720" t="s">
        <v>1582</v>
      </c>
      <c r="E32" s="718" t="s"/>
      <c r="F32" s="718" t="s"/>
      <c r="G32" s="718" t="s"/>
      <c r="H32" s="718" t="s"/>
      <c r="I32" s="718" t="s"/>
      <c r="J32" s="718" t="s"/>
      <c r="K32" s="718" t="s"/>
      <c r="L32" s="718" t="s"/>
    </row>
    <row r="33" spans="1:12">
      <c r="A33" s="719" t="s">
        <v>1579</v>
      </c>
      <c r="B33" s="720" t="s">
        <v>1643</v>
      </c>
      <c r="C33" s="721" t="s">
        <v>1644</v>
      </c>
      <c r="D33" s="720" t="s">
        <v>1582</v>
      </c>
      <c r="E33" s="718" t="s"/>
      <c r="F33" s="718" t="s"/>
      <c r="G33" s="718" t="s"/>
      <c r="H33" s="718" t="s"/>
      <c r="I33" s="718" t="s"/>
      <c r="J33" s="718" t="s"/>
      <c r="K33" s="718" t="s"/>
      <c r="L33" s="718" t="s"/>
    </row>
    <row r="34" spans="1:12">
      <c r="A34" s="719" t="s">
        <v>1579</v>
      </c>
      <c r="B34" s="720" t="s">
        <v>1645</v>
      </c>
      <c r="C34" s="721" t="s">
        <v>1646</v>
      </c>
      <c r="D34" s="720" t="s">
        <v>1582</v>
      </c>
      <c r="E34" s="718" t="s"/>
      <c r="F34" s="718" t="s"/>
      <c r="G34" s="718" t="s"/>
      <c r="H34" s="718" t="s"/>
      <c r="I34" s="718" t="s"/>
      <c r="J34" s="718" t="s"/>
      <c r="K34" s="718" t="s"/>
      <c r="L34" s="718" t="s"/>
    </row>
    <row r="35" spans="1:12">
      <c r="A35" s="719" t="s">
        <v>1579</v>
      </c>
      <c r="B35" s="720" t="s">
        <v>1647</v>
      </c>
      <c r="C35" s="721" t="s">
        <v>1648</v>
      </c>
      <c r="D35" s="720" t="s">
        <v>1582</v>
      </c>
      <c r="E35" s="718" t="s"/>
      <c r="F35" s="718" t="s"/>
      <c r="G35" s="718" t="s"/>
      <c r="H35" s="718" t="s"/>
      <c r="I35" s="718" t="s"/>
      <c r="J35" s="718" t="s"/>
      <c r="K35" s="718" t="s"/>
      <c r="L35" s="718" t="s"/>
    </row>
    <row r="36" spans="1:12">
      <c r="A36" s="719" t="s">
        <v>1579</v>
      </c>
      <c r="B36" s="720" t="s">
        <v>1649</v>
      </c>
      <c r="C36" s="721" t="s">
        <v>1650</v>
      </c>
      <c r="D36" s="720" t="s">
        <v>1582</v>
      </c>
      <c r="E36" s="718" t="s"/>
      <c r="F36" s="718" t="s"/>
      <c r="G36" s="718" t="s"/>
      <c r="H36" s="718" t="s"/>
      <c r="I36" s="718" t="s"/>
      <c r="J36" s="718" t="s"/>
      <c r="K36" s="718" t="s"/>
      <c r="L36" s="718" t="s"/>
    </row>
    <row r="37" spans="1:12">
      <c r="A37" s="719" t="s">
        <v>1579</v>
      </c>
      <c r="B37" s="720" t="s">
        <v>1651</v>
      </c>
      <c r="C37" s="721" t="s">
        <v>1652</v>
      </c>
      <c r="D37" s="720" t="s">
        <v>1582</v>
      </c>
      <c r="E37" s="718" t="s"/>
      <c r="F37" s="718" t="s"/>
      <c r="G37" s="718" t="s"/>
      <c r="H37" s="718" t="s"/>
      <c r="I37" s="718" t="s"/>
      <c r="J37" s="718" t="s"/>
      <c r="K37" s="718" t="s"/>
      <c r="L37" s="718" t="s"/>
    </row>
    <row r="38" spans="1:12">
      <c r="A38" s="719" t="s">
        <v>1579</v>
      </c>
      <c r="B38" s="720" t="s">
        <v>1653</v>
      </c>
      <c r="C38" s="721" t="s">
        <v>1654</v>
      </c>
      <c r="D38" s="720" t="s">
        <v>1582</v>
      </c>
      <c r="E38" s="718" t="s"/>
      <c r="F38" s="718" t="s"/>
      <c r="G38" s="718" t="s"/>
      <c r="H38" s="718" t="s"/>
      <c r="I38" s="718" t="s"/>
      <c r="J38" s="718" t="s"/>
      <c r="K38" s="718" t="s"/>
      <c r="L38" s="718" t="s"/>
    </row>
    <row r="39" spans="1:12">
      <c r="A39" s="719" t="s">
        <v>1579</v>
      </c>
      <c r="B39" s="720" t="s">
        <v>1655</v>
      </c>
      <c r="C39" s="721" t="s">
        <v>1656</v>
      </c>
      <c r="D39" s="720" t="s">
        <v>1582</v>
      </c>
      <c r="E39" s="718" t="s"/>
      <c r="F39" s="718" t="s"/>
      <c r="G39" s="718" t="s"/>
      <c r="H39" s="718" t="s"/>
      <c r="I39" s="718" t="s"/>
      <c r="J39" s="718" t="s"/>
      <c r="K39" s="718" t="s"/>
      <c r="L39" s="718" t="s"/>
    </row>
    <row r="40" spans="1:12">
      <c r="A40" s="719" t="s">
        <v>1579</v>
      </c>
      <c r="B40" s="720" t="s">
        <v>1657</v>
      </c>
      <c r="C40" s="721" t="s">
        <v>1658</v>
      </c>
      <c r="D40" s="720" t="s">
        <v>1582</v>
      </c>
      <c r="E40" s="718" t="s"/>
      <c r="F40" s="718" t="s"/>
      <c r="G40" s="718" t="s"/>
      <c r="H40" s="718" t="s"/>
      <c r="I40" s="718" t="s"/>
      <c r="J40" s="718" t="s"/>
      <c r="K40" s="718" t="s"/>
      <c r="L40" s="718" t="s"/>
    </row>
    <row r="41" spans="1:12">
      <c r="A41" s="719" t="s">
        <v>1579</v>
      </c>
      <c r="B41" s="720" t="s">
        <v>1659</v>
      </c>
      <c r="C41" s="721" t="s">
        <v>1660</v>
      </c>
      <c r="D41" s="720" t="s">
        <v>1582</v>
      </c>
      <c r="E41" s="718" t="s"/>
      <c r="F41" s="718" t="s"/>
      <c r="G41" s="718" t="s"/>
      <c r="H41" s="718" t="s"/>
      <c r="I41" s="718" t="s"/>
      <c r="J41" s="718" t="s"/>
      <c r="K41" s="718" t="s"/>
      <c r="L41" s="718" t="s"/>
    </row>
    <row r="42" spans="1:12">
      <c r="A42" s="719" t="s">
        <v>1579</v>
      </c>
      <c r="B42" s="720" t="s">
        <v>1661</v>
      </c>
      <c r="C42" s="721" t="s">
        <v>1662</v>
      </c>
      <c r="D42" s="720" t="s">
        <v>1582</v>
      </c>
      <c r="E42" s="718" t="s"/>
      <c r="F42" s="718" t="s"/>
      <c r="G42" s="718" t="s"/>
      <c r="H42" s="718" t="s"/>
      <c r="I42" s="718" t="s"/>
      <c r="J42" s="718" t="s"/>
      <c r="K42" s="718" t="s"/>
      <c r="L42" s="718" t="s"/>
    </row>
    <row r="43" spans="1:12">
      <c r="A43" s="719" t="s">
        <v>1579</v>
      </c>
      <c r="B43" s="720" t="s">
        <v>1663</v>
      </c>
      <c r="C43" s="721" t="s">
        <v>1664</v>
      </c>
      <c r="D43" s="720" t="s">
        <v>1582</v>
      </c>
      <c r="E43" s="718" t="s"/>
      <c r="F43" s="718" t="s"/>
      <c r="G43" s="718" t="s"/>
      <c r="H43" s="718" t="s"/>
      <c r="I43" s="718" t="s"/>
      <c r="J43" s="718" t="s"/>
      <c r="K43" s="718" t="s"/>
      <c r="L43" s="718" t="s"/>
    </row>
    <row r="44" spans="1:12">
      <c r="A44" s="719" t="s">
        <v>1579</v>
      </c>
      <c r="B44" s="720" t="s">
        <v>1665</v>
      </c>
      <c r="C44" s="721" t="s">
        <v>1666</v>
      </c>
      <c r="D44" s="720" t="s">
        <v>1582</v>
      </c>
      <c r="E44" s="718" t="s"/>
      <c r="F44" s="718" t="s"/>
      <c r="G44" s="718" t="s"/>
      <c r="H44" s="718" t="s"/>
      <c r="I44" s="718" t="s"/>
      <c r="J44" s="718" t="s"/>
      <c r="K44" s="718" t="s"/>
      <c r="L44" s="718" t="s"/>
    </row>
    <row r="45" spans="1:12">
      <c r="A45" s="719" t="s">
        <v>1579</v>
      </c>
      <c r="B45" s="720" t="s">
        <v>1667</v>
      </c>
      <c r="C45" s="721" t="s">
        <v>1668</v>
      </c>
      <c r="D45" s="720" t="s">
        <v>1582</v>
      </c>
      <c r="E45" s="718" t="s"/>
      <c r="F45" s="718" t="s"/>
      <c r="G45" s="718" t="s"/>
      <c r="H45" s="718" t="s"/>
      <c r="I45" s="718" t="s"/>
      <c r="J45" s="718" t="s"/>
      <c r="K45" s="718" t="s"/>
      <c r="L45" s="718" t="s"/>
    </row>
    <row r="46" spans="1:12">
      <c r="A46" s="719" t="s">
        <v>1579</v>
      </c>
      <c r="B46" s="720" t="s">
        <v>1669</v>
      </c>
      <c r="C46" s="721" t="s">
        <v>1670</v>
      </c>
      <c r="D46" s="720" t="s">
        <v>1582</v>
      </c>
      <c r="E46" s="718" t="s"/>
      <c r="F46" s="718" t="s"/>
      <c r="G46" s="718" t="s"/>
      <c r="H46" s="718" t="s"/>
      <c r="I46" s="718" t="s"/>
      <c r="J46" s="718" t="s"/>
      <c r="K46" s="718" t="s"/>
      <c r="L46" s="718" t="s"/>
    </row>
    <row r="47" spans="1:12">
      <c r="A47" s="719" t="s">
        <v>1579</v>
      </c>
      <c r="B47" s="720" t="s">
        <v>1671</v>
      </c>
      <c r="C47" s="721" t="s">
        <v>1672</v>
      </c>
      <c r="D47" s="720" t="s">
        <v>1582</v>
      </c>
      <c r="E47" s="718" t="s"/>
      <c r="F47" s="718" t="s"/>
      <c r="G47" s="718" t="s"/>
      <c r="H47" s="718" t="s"/>
      <c r="I47" s="718" t="s"/>
      <c r="J47" s="718" t="s"/>
      <c r="K47" s="718" t="s"/>
      <c r="L47" s="718" t="s"/>
    </row>
    <row r="48" spans="1:12">
      <c r="A48" s="719" t="s">
        <v>1579</v>
      </c>
      <c r="B48" s="720" t="s">
        <v>1673</v>
      </c>
      <c r="C48" s="721" t="s">
        <v>1674</v>
      </c>
      <c r="D48" s="720" t="s">
        <v>1582</v>
      </c>
      <c r="E48" s="718" t="s"/>
      <c r="F48" s="718" t="s"/>
      <c r="G48" s="718" t="s"/>
      <c r="H48" s="718" t="s"/>
      <c r="I48" s="718" t="s"/>
      <c r="J48" s="718" t="s"/>
      <c r="K48" s="718" t="s"/>
      <c r="L48" s="718" t="s"/>
    </row>
    <row r="49" spans="1:12">
      <c r="A49" s="719" t="s">
        <v>1579</v>
      </c>
      <c r="B49" s="720" t="s">
        <v>1675</v>
      </c>
      <c r="C49" s="721" t="s">
        <v>1676</v>
      </c>
      <c r="D49" s="720" t="s">
        <v>1582</v>
      </c>
      <c r="E49" s="718" t="s"/>
      <c r="F49" s="718" t="s"/>
      <c r="G49" s="718" t="s"/>
      <c r="H49" s="718" t="s"/>
      <c r="I49" s="718" t="s"/>
      <c r="J49" s="718" t="s"/>
      <c r="K49" s="718" t="s"/>
      <c r="L49" s="718" t="s"/>
    </row>
    <row r="50" spans="1:12">
      <c r="A50" s="719" t="s">
        <v>1579</v>
      </c>
      <c r="B50" s="720" t="s">
        <v>1677</v>
      </c>
      <c r="C50" s="721" t="s">
        <v>1678</v>
      </c>
      <c r="D50" s="720" t="s">
        <v>1582</v>
      </c>
      <c r="E50" s="718" t="s"/>
      <c r="F50" s="718" t="s"/>
      <c r="G50" s="718" t="s"/>
      <c r="H50" s="718" t="s"/>
      <c r="I50" s="718" t="s"/>
      <c r="J50" s="718" t="s"/>
      <c r="K50" s="718" t="s"/>
      <c r="L50" s="718" t="s"/>
    </row>
    <row r="51" spans="1:12">
      <c r="A51" s="719" t="s">
        <v>1579</v>
      </c>
      <c r="B51" s="720" t="s">
        <v>1679</v>
      </c>
      <c r="C51" s="721" t="s">
        <v>1680</v>
      </c>
      <c r="D51" s="720" t="s">
        <v>1582</v>
      </c>
      <c r="E51" s="718" t="s"/>
      <c r="F51" s="718" t="s"/>
      <c r="G51" s="718" t="s"/>
      <c r="H51" s="718" t="s"/>
      <c r="I51" s="718" t="s"/>
      <c r="J51" s="718" t="s"/>
      <c r="K51" s="718" t="s"/>
      <c r="L51" s="718" t="s"/>
    </row>
    <row r="52" spans="1:12">
      <c r="A52" s="719" t="s">
        <v>1579</v>
      </c>
      <c r="B52" s="720" t="s">
        <v>1681</v>
      </c>
      <c r="C52" s="721" t="s">
        <v>1682</v>
      </c>
      <c r="D52" s="720" t="s">
        <v>1582</v>
      </c>
      <c r="E52" s="718" t="s"/>
      <c r="F52" s="718" t="s"/>
      <c r="G52" s="718" t="s"/>
      <c r="H52" s="718" t="s"/>
      <c r="I52" s="718" t="s"/>
      <c r="J52" s="718" t="s"/>
      <c r="K52" s="718" t="s"/>
      <c r="L52" s="718" t="s"/>
    </row>
    <row r="53" spans="1:12">
      <c r="A53" s="719" t="s">
        <v>1579</v>
      </c>
      <c r="B53" s="720" t="s">
        <v>1683</v>
      </c>
      <c r="C53" s="721" t="s">
        <v>1684</v>
      </c>
      <c r="D53" s="720" t="s">
        <v>1582</v>
      </c>
      <c r="E53" s="718" t="s"/>
      <c r="F53" s="718" t="s"/>
      <c r="G53" s="718" t="s"/>
      <c r="H53" s="718" t="s"/>
      <c r="I53" s="718" t="s"/>
      <c r="J53" s="718" t="s"/>
      <c r="K53" s="718" t="s"/>
      <c r="L53" s="718" t="s"/>
    </row>
    <row r="54" spans="1:12">
      <c r="A54" s="719" t="s">
        <v>1579</v>
      </c>
      <c r="B54" s="720" t="s">
        <v>1685</v>
      </c>
      <c r="C54" s="721" t="s">
        <v>1686</v>
      </c>
      <c r="D54" s="720" t="s">
        <v>1582</v>
      </c>
      <c r="E54" s="718" t="s"/>
      <c r="F54" s="718" t="s"/>
      <c r="G54" s="718" t="s"/>
      <c r="H54" s="718" t="s"/>
      <c r="I54" s="718" t="s"/>
      <c r="J54" s="718" t="s"/>
      <c r="K54" s="718" t="s"/>
      <c r="L54" s="718" t="s"/>
    </row>
    <row r="55" spans="1:12">
      <c r="A55" s="719" t="s">
        <v>1579</v>
      </c>
      <c r="B55" s="720" t="s">
        <v>1687</v>
      </c>
      <c r="C55" s="721" t="s">
        <v>1688</v>
      </c>
      <c r="D55" s="720" t="s">
        <v>1582</v>
      </c>
      <c r="E55" s="718" t="s"/>
      <c r="F55" s="718" t="s"/>
      <c r="G55" s="718" t="s"/>
      <c r="H55" s="718" t="s"/>
      <c r="I55" s="718" t="s"/>
      <c r="J55" s="718" t="s"/>
      <c r="K55" s="718" t="s"/>
      <c r="L55" s="718" t="s"/>
    </row>
    <row r="56" spans="1:12">
      <c r="A56" s="719" t="s">
        <v>1579</v>
      </c>
      <c r="B56" s="720" t="s">
        <v>1689</v>
      </c>
      <c r="C56" s="721" t="s">
        <v>1690</v>
      </c>
      <c r="D56" s="720" t="s">
        <v>1582</v>
      </c>
      <c r="E56" s="718" t="s"/>
      <c r="F56" s="718" t="s"/>
      <c r="G56" s="718" t="s"/>
      <c r="H56" s="718" t="s"/>
      <c r="I56" s="718" t="s"/>
      <c r="J56" s="718" t="s"/>
      <c r="K56" s="718" t="s"/>
      <c r="L56" s="718" t="s"/>
    </row>
    <row r="57" spans="1:12">
      <c r="A57" s="719" t="s">
        <v>1579</v>
      </c>
      <c r="B57" s="720" t="s">
        <v>1691</v>
      </c>
      <c r="C57" s="721" t="s">
        <v>1692</v>
      </c>
      <c r="D57" s="720" t="s">
        <v>1582</v>
      </c>
      <c r="E57" s="718" t="s"/>
      <c r="F57" s="718" t="s"/>
      <c r="G57" s="718" t="s"/>
      <c r="H57" s="718" t="s"/>
      <c r="I57" s="718" t="s"/>
      <c r="J57" s="718" t="s"/>
      <c r="K57" s="718" t="s"/>
      <c r="L57" s="718" t="s"/>
    </row>
    <row r="58" spans="1:12">
      <c r="A58" s="719" t="s">
        <v>1579</v>
      </c>
      <c r="B58" s="720" t="s">
        <v>1693</v>
      </c>
      <c r="C58" s="721" t="s">
        <v>1694</v>
      </c>
      <c r="D58" s="720" t="s">
        <v>1582</v>
      </c>
      <c r="E58" s="718" t="s"/>
      <c r="F58" s="718" t="s"/>
      <c r="G58" s="718" t="s"/>
      <c r="H58" s="718" t="s"/>
      <c r="I58" s="718" t="s"/>
      <c r="J58" s="718" t="s"/>
      <c r="K58" s="718" t="s"/>
      <c r="L58" s="718" t="s"/>
    </row>
    <row r="59" spans="1:12">
      <c r="A59" s="719" t="s">
        <v>1579</v>
      </c>
      <c r="B59" s="720" t="s">
        <v>1695</v>
      </c>
      <c r="C59" s="721" t="s">
        <v>1696</v>
      </c>
      <c r="D59" s="720" t="s">
        <v>1582</v>
      </c>
      <c r="E59" s="718" t="s"/>
      <c r="F59" s="718" t="s"/>
      <c r="G59" s="718" t="s"/>
      <c r="H59" s="718" t="s"/>
      <c r="I59" s="718" t="s"/>
      <c r="J59" s="718" t="s"/>
      <c r="K59" s="718" t="s"/>
      <c r="L59" s="718" t="s"/>
    </row>
    <row r="60" spans="1:12">
      <c r="A60" s="719" t="s">
        <v>1579</v>
      </c>
      <c r="B60" s="720" t="s">
        <v>1697</v>
      </c>
      <c r="C60" s="721" t="s">
        <v>1698</v>
      </c>
      <c r="D60" s="720" t="s">
        <v>1582</v>
      </c>
      <c r="E60" s="718" t="s"/>
      <c r="F60" s="718" t="s"/>
      <c r="G60" s="718" t="s"/>
      <c r="H60" s="718" t="s"/>
      <c r="I60" s="718" t="s"/>
      <c r="J60" s="718" t="s"/>
      <c r="K60" s="718" t="s"/>
      <c r="L60" s="718" t="s"/>
    </row>
    <row r="61" spans="1:12">
      <c r="A61" s="719" t="s">
        <v>1579</v>
      </c>
      <c r="B61" s="720" t="s">
        <v>1699</v>
      </c>
      <c r="C61" s="721" t="s">
        <v>1700</v>
      </c>
      <c r="D61" s="720" t="s">
        <v>1582</v>
      </c>
      <c r="E61" s="718" t="s"/>
      <c r="F61" s="718" t="s"/>
      <c r="G61" s="718" t="s"/>
      <c r="H61" s="718" t="s"/>
      <c r="I61" s="718" t="s"/>
      <c r="J61" s="718" t="s"/>
      <c r="K61" s="718" t="s"/>
      <c r="L61" s="718" t="s"/>
    </row>
    <row r="62" spans="1:12">
      <c r="A62" s="719" t="s">
        <v>1579</v>
      </c>
      <c r="B62" s="720" t="s">
        <v>1701</v>
      </c>
      <c r="C62" s="721" t="s">
        <v>1702</v>
      </c>
      <c r="D62" s="720" t="s">
        <v>1582</v>
      </c>
      <c r="E62" s="718" t="s"/>
      <c r="F62" s="718" t="s"/>
      <c r="G62" s="718" t="s"/>
      <c r="H62" s="718" t="s"/>
      <c r="I62" s="718" t="s"/>
      <c r="J62" s="718" t="s"/>
      <c r="K62" s="718" t="s"/>
      <c r="L62" s="718" t="s"/>
    </row>
    <row r="63" spans="1:12">
      <c r="A63" s="719" t="s">
        <v>1579</v>
      </c>
      <c r="B63" s="720" t="s">
        <v>1703</v>
      </c>
      <c r="C63" s="721" t="s">
        <v>1704</v>
      </c>
      <c r="D63" s="720" t="s">
        <v>1582</v>
      </c>
      <c r="E63" s="718" t="s"/>
      <c r="F63" s="718" t="s"/>
      <c r="G63" s="718" t="s"/>
      <c r="H63" s="718" t="s"/>
      <c r="I63" s="718" t="s"/>
      <c r="J63" s="718" t="s"/>
      <c r="K63" s="718" t="s"/>
      <c r="L63" s="718" t="s"/>
    </row>
    <row r="64" spans="1:12">
      <c r="A64" s="719" t="s">
        <v>1579</v>
      </c>
      <c r="B64" s="720" t="s">
        <v>1705</v>
      </c>
      <c r="C64" s="721" t="s">
        <v>1706</v>
      </c>
      <c r="D64" s="720" t="s">
        <v>1582</v>
      </c>
      <c r="E64" s="718" t="s"/>
      <c r="F64" s="718" t="s"/>
      <c r="G64" s="718" t="s"/>
      <c r="H64" s="718" t="s"/>
      <c r="I64" s="718" t="s"/>
      <c r="J64" s="718" t="s"/>
      <c r="K64" s="718" t="s"/>
      <c r="L64" s="718" t="s"/>
    </row>
    <row r="65" spans="1:12">
      <c r="A65" s="719" t="s">
        <v>1579</v>
      </c>
      <c r="B65" s="720" t="s">
        <v>1707</v>
      </c>
      <c r="C65" s="721" t="s">
        <v>1708</v>
      </c>
      <c r="D65" s="720" t="s">
        <v>1582</v>
      </c>
      <c r="E65" s="718" t="s"/>
      <c r="F65" s="718" t="s"/>
      <c r="G65" s="718" t="s"/>
      <c r="H65" s="718" t="s"/>
      <c r="I65" s="718" t="s"/>
      <c r="J65" s="718" t="s"/>
      <c r="K65" s="718" t="s"/>
      <c r="L65" s="718" t="s"/>
    </row>
    <row r="66" spans="1:12">
      <c r="A66" s="719" t="s">
        <v>1579</v>
      </c>
      <c r="B66" s="720" t="s">
        <v>1709</v>
      </c>
      <c r="C66" s="721" t="s">
        <v>1710</v>
      </c>
      <c r="D66" s="720" t="s">
        <v>1582</v>
      </c>
      <c r="E66" s="718" t="s"/>
      <c r="F66" s="718" t="s"/>
      <c r="G66" s="718" t="s"/>
      <c r="H66" s="718" t="s"/>
      <c r="I66" s="718" t="s"/>
      <c r="J66" s="718" t="s"/>
      <c r="K66" s="718" t="s"/>
      <c r="L66" s="718" t="s"/>
    </row>
    <row r="67" spans="1:12">
      <c r="A67" s="719" t="s">
        <v>1579</v>
      </c>
      <c r="B67" s="720" t="s">
        <v>1711</v>
      </c>
      <c r="C67" s="721" t="s">
        <v>1712</v>
      </c>
      <c r="D67" s="720" t="s">
        <v>1582</v>
      </c>
      <c r="E67" s="718" t="s"/>
      <c r="F67" s="718" t="s"/>
      <c r="G67" s="718" t="s"/>
      <c r="H67" s="718" t="s"/>
      <c r="I67" s="718" t="s"/>
      <c r="J67" s="718" t="s"/>
      <c r="K67" s="718" t="s"/>
      <c r="L67" s="718" t="s"/>
    </row>
    <row r="68" spans="1:12">
      <c r="A68" s="719" t="s">
        <v>1579</v>
      </c>
      <c r="B68" s="720" t="s">
        <v>1713</v>
      </c>
      <c r="C68" s="721" t="s">
        <v>1714</v>
      </c>
      <c r="D68" s="720" t="s">
        <v>1582</v>
      </c>
      <c r="E68" s="718" t="s"/>
      <c r="F68" s="718" t="s"/>
      <c r="G68" s="718" t="s"/>
      <c r="H68" s="718" t="s"/>
      <c r="I68" s="718" t="s"/>
      <c r="J68" s="718" t="s"/>
      <c r="K68" s="718" t="s"/>
      <c r="L68" s="718" t="s"/>
    </row>
    <row r="69" spans="1:12">
      <c r="A69" s="719" t="s">
        <v>1579</v>
      </c>
      <c r="B69" s="720" t="s">
        <v>1715</v>
      </c>
      <c r="C69" s="721" t="s">
        <v>1716</v>
      </c>
      <c r="D69" s="720" t="s">
        <v>1582</v>
      </c>
      <c r="E69" s="718" t="s"/>
      <c r="F69" s="718" t="s"/>
      <c r="G69" s="718" t="s"/>
      <c r="H69" s="718" t="s"/>
      <c r="I69" s="718" t="s"/>
      <c r="J69" s="718" t="s"/>
      <c r="K69" s="718" t="s"/>
      <c r="L69" s="718" t="s"/>
    </row>
    <row r="70" spans="1:12">
      <c r="A70" s="719" t="s">
        <v>1579</v>
      </c>
      <c r="B70" s="720" t="s">
        <v>1717</v>
      </c>
      <c r="C70" s="721" t="s">
        <v>1718</v>
      </c>
      <c r="D70" s="720" t="s">
        <v>1582</v>
      </c>
      <c r="E70" s="718" t="s"/>
      <c r="F70" s="718" t="s"/>
      <c r="G70" s="718" t="s"/>
      <c r="H70" s="718" t="s"/>
      <c r="I70" s="718" t="s"/>
      <c r="J70" s="718" t="s"/>
      <c r="K70" s="718" t="s"/>
      <c r="L70" s="718" t="s"/>
    </row>
    <row r="71" spans="1:12">
      <c r="A71" s="719" t="s">
        <v>1579</v>
      </c>
      <c r="B71" s="720" t="s">
        <v>1719</v>
      </c>
      <c r="C71" s="721" t="s">
        <v>1720</v>
      </c>
      <c r="D71" s="720" t="s">
        <v>1582</v>
      </c>
      <c r="E71" s="718" t="s"/>
      <c r="F71" s="718" t="s"/>
      <c r="G71" s="718" t="s"/>
      <c r="H71" s="718" t="s"/>
      <c r="I71" s="718" t="s"/>
      <c r="J71" s="718" t="s"/>
      <c r="K71" s="718" t="s"/>
      <c r="L71" s="718" t="s"/>
    </row>
    <row r="72" spans="1:12">
      <c r="A72" s="719" t="s">
        <v>1579</v>
      </c>
      <c r="B72" s="720" t="s">
        <v>1721</v>
      </c>
      <c r="C72" s="721" t="s">
        <v>1722</v>
      </c>
      <c r="D72" s="720" t="s">
        <v>1582</v>
      </c>
      <c r="E72" s="718" t="s"/>
      <c r="F72" s="718" t="s"/>
      <c r="G72" s="718" t="s"/>
      <c r="H72" s="718" t="s"/>
      <c r="I72" s="718" t="s"/>
      <c r="J72" s="718" t="s"/>
      <c r="K72" s="718" t="s"/>
      <c r="L72" s="718" t="s"/>
    </row>
    <row r="73" spans="1:12">
      <c r="A73" s="719" t="s">
        <v>1579</v>
      </c>
      <c r="B73" s="720" t="s">
        <v>1723</v>
      </c>
      <c r="C73" s="721" t="s">
        <v>1724</v>
      </c>
      <c r="D73" s="720" t="s">
        <v>1582</v>
      </c>
      <c r="E73" s="718" t="s"/>
      <c r="F73" s="718" t="s"/>
      <c r="G73" s="718" t="s"/>
      <c r="H73" s="718" t="s"/>
      <c r="I73" s="718" t="s"/>
      <c r="J73" s="718" t="s"/>
      <c r="K73" s="718" t="s"/>
      <c r="L73" s="718" t="s"/>
    </row>
    <row r="74" spans="1:12">
      <c r="A74" s="719" t="s">
        <v>1579</v>
      </c>
      <c r="B74" s="720" t="s">
        <v>1725</v>
      </c>
      <c r="C74" s="721" t="s">
        <v>1726</v>
      </c>
      <c r="D74" s="720" t="s">
        <v>1582</v>
      </c>
      <c r="E74" s="718" t="s"/>
      <c r="F74" s="718" t="s"/>
      <c r="G74" s="718" t="s"/>
      <c r="H74" s="718" t="s"/>
      <c r="I74" s="718" t="s"/>
      <c r="J74" s="718" t="s"/>
      <c r="K74" s="718" t="s"/>
      <c r="L74" s="718" t="s"/>
    </row>
    <row r="75" spans="1:12">
      <c r="A75" s="719" t="s">
        <v>1579</v>
      </c>
      <c r="B75" s="720" t="s">
        <v>1727</v>
      </c>
      <c r="C75" s="721" t="s">
        <v>1728</v>
      </c>
      <c r="D75" s="720" t="s">
        <v>1582</v>
      </c>
      <c r="E75" s="718" t="s"/>
      <c r="F75" s="718" t="s"/>
      <c r="G75" s="718" t="s"/>
      <c r="H75" s="718" t="s"/>
      <c r="I75" s="718" t="s"/>
      <c r="J75" s="718" t="s"/>
      <c r="K75" s="718" t="s"/>
      <c r="L75" s="718" t="s"/>
    </row>
    <row r="76" spans="1:12">
      <c r="A76" s="719" t="s">
        <v>1579</v>
      </c>
      <c r="B76" s="720" t="s">
        <v>1729</v>
      </c>
      <c r="C76" s="721" t="s">
        <v>1730</v>
      </c>
      <c r="D76" s="720" t="s">
        <v>1582</v>
      </c>
      <c r="E76" s="718" t="s"/>
      <c r="F76" s="718" t="s"/>
      <c r="G76" s="718" t="s"/>
      <c r="H76" s="718" t="s"/>
      <c r="I76" s="718" t="s"/>
      <c r="J76" s="718" t="s"/>
      <c r="K76" s="718" t="s"/>
      <c r="L76" s="718" t="s"/>
    </row>
    <row r="77" spans="1:12">
      <c r="A77" s="719" t="s">
        <v>1579</v>
      </c>
      <c r="B77" s="720" t="s">
        <v>1731</v>
      </c>
      <c r="C77" s="721" t="s">
        <v>1732</v>
      </c>
      <c r="D77" s="720" t="s">
        <v>1582</v>
      </c>
      <c r="E77" s="718" t="s"/>
      <c r="F77" s="718" t="s"/>
      <c r="G77" s="718" t="s"/>
      <c r="H77" s="718" t="s"/>
      <c r="I77" s="718" t="s"/>
      <c r="J77" s="718" t="s"/>
      <c r="K77" s="718" t="s"/>
      <c r="L77" s="718" t="s"/>
    </row>
    <row r="78" spans="1:12">
      <c r="A78" s="719" t="s">
        <v>1579</v>
      </c>
      <c r="B78" s="720" t="s">
        <v>1733</v>
      </c>
      <c r="C78" s="721" t="s">
        <v>1734</v>
      </c>
      <c r="D78" s="720" t="s">
        <v>1582</v>
      </c>
      <c r="E78" s="718" t="s"/>
      <c r="F78" s="718" t="s"/>
      <c r="G78" s="718" t="s"/>
      <c r="H78" s="718" t="s"/>
      <c r="I78" s="718" t="s"/>
      <c r="J78" s="718" t="s"/>
      <c r="K78" s="718" t="s"/>
      <c r="L78" s="718" t="s"/>
    </row>
    <row r="79" spans="1:12">
      <c r="A79" s="719" t="s">
        <v>1579</v>
      </c>
      <c r="B79" s="720" t="s">
        <v>1735</v>
      </c>
      <c r="C79" s="721" t="s">
        <v>1736</v>
      </c>
      <c r="D79" s="720" t="s">
        <v>1582</v>
      </c>
      <c r="E79" s="718" t="s"/>
      <c r="F79" s="718" t="s"/>
      <c r="G79" s="718" t="s"/>
      <c r="H79" s="718" t="s"/>
      <c r="I79" s="718" t="s"/>
      <c r="J79" s="718" t="s"/>
      <c r="K79" s="718" t="s"/>
      <c r="L79" s="718" t="s"/>
    </row>
    <row r="80" spans="1:12">
      <c r="A80" s="719" t="s">
        <v>1579</v>
      </c>
      <c r="B80" s="720" t="s">
        <v>1737</v>
      </c>
      <c r="C80" s="721" t="s">
        <v>1738</v>
      </c>
      <c r="D80" s="720" t="s">
        <v>1582</v>
      </c>
      <c r="E80" s="718" t="s"/>
      <c r="F80" s="718" t="s"/>
      <c r="G80" s="718" t="s"/>
      <c r="H80" s="718" t="s"/>
      <c r="I80" s="718" t="s"/>
      <c r="J80" s="718" t="s"/>
      <c r="K80" s="718" t="s"/>
      <c r="L80" s="718" t="s"/>
    </row>
    <row r="81" spans="1:12">
      <c r="A81" s="719" t="s">
        <v>1579</v>
      </c>
      <c r="B81" s="720" t="s">
        <v>1739</v>
      </c>
      <c r="C81" s="721" t="s">
        <v>1740</v>
      </c>
      <c r="D81" s="720" t="s">
        <v>1582</v>
      </c>
      <c r="E81" s="718" t="s"/>
      <c r="F81" s="718" t="s"/>
      <c r="G81" s="718" t="s"/>
      <c r="H81" s="718" t="s"/>
      <c r="I81" s="718" t="s"/>
      <c r="J81" s="718" t="s"/>
      <c r="K81" s="718" t="s"/>
      <c r="L81" s="718" t="s"/>
    </row>
    <row r="82" spans="1:12">
      <c r="A82" s="719" t="s">
        <v>1579</v>
      </c>
      <c r="B82" s="720" t="s">
        <v>1741</v>
      </c>
      <c r="C82" s="721" t="s">
        <v>1742</v>
      </c>
      <c r="D82" s="720" t="s">
        <v>1582</v>
      </c>
      <c r="E82" s="718" t="s"/>
      <c r="F82" s="718" t="s"/>
      <c r="G82" s="718" t="s"/>
      <c r="H82" s="718" t="s"/>
      <c r="I82" s="718" t="s"/>
      <c r="J82" s="718" t="s"/>
      <c r="K82" s="718" t="s"/>
      <c r="L82" s="718" t="s"/>
    </row>
    <row r="83" spans="1:12">
      <c r="A83" s="719" t="s">
        <v>1579</v>
      </c>
      <c r="B83" s="720" t="s">
        <v>1743</v>
      </c>
      <c r="C83" s="721" t="s">
        <v>1744</v>
      </c>
      <c r="D83" s="720" t="s">
        <v>1582</v>
      </c>
      <c r="E83" s="718" t="s"/>
      <c r="F83" s="718" t="s"/>
      <c r="G83" s="718" t="s"/>
      <c r="H83" s="718" t="s"/>
      <c r="I83" s="718" t="s"/>
      <c r="J83" s="718" t="s"/>
      <c r="K83" s="718" t="s"/>
      <c r="L83" s="718" t="s"/>
    </row>
    <row r="84" spans="1:12">
      <c r="A84" s="719" t="s">
        <v>1579</v>
      </c>
      <c r="B84" s="720" t="s">
        <v>1745</v>
      </c>
      <c r="C84" s="721" t="s">
        <v>1746</v>
      </c>
      <c r="D84" s="720" t="s">
        <v>1582</v>
      </c>
      <c r="E84" s="718" t="s"/>
      <c r="F84" s="718" t="s"/>
      <c r="G84" s="718" t="s"/>
      <c r="H84" s="718" t="s"/>
      <c r="I84" s="718" t="s"/>
      <c r="J84" s="718" t="s"/>
      <c r="K84" s="718" t="s"/>
      <c r="L84" s="718" t="s"/>
    </row>
    <row r="85" spans="1:12">
      <c r="A85" s="719" t="s">
        <v>1579</v>
      </c>
      <c r="B85" s="720" t="s">
        <v>1747</v>
      </c>
      <c r="C85" s="721" t="s">
        <v>1748</v>
      </c>
      <c r="D85" s="720" t="s">
        <v>1582</v>
      </c>
      <c r="E85" s="718" t="s"/>
      <c r="F85" s="718" t="s"/>
      <c r="G85" s="718" t="s"/>
      <c r="H85" s="718" t="s"/>
      <c r="I85" s="718" t="s"/>
      <c r="J85" s="718" t="s"/>
      <c r="K85" s="718" t="s"/>
      <c r="L85" s="718" t="s"/>
    </row>
    <row r="86" spans="1:12">
      <c r="A86" s="719" t="s">
        <v>1579</v>
      </c>
      <c r="B86" s="720" t="s">
        <v>1749</v>
      </c>
      <c r="C86" s="721" t="s">
        <v>1750</v>
      </c>
      <c r="D86" s="720" t="s">
        <v>1582</v>
      </c>
      <c r="E86" s="718" t="s"/>
      <c r="F86" s="718" t="s"/>
      <c r="G86" s="718" t="s"/>
      <c r="H86" s="718" t="s"/>
      <c r="I86" s="718" t="s"/>
      <c r="J86" s="718" t="s"/>
      <c r="K86" s="718" t="s"/>
      <c r="L86" s="718" t="s"/>
    </row>
    <row r="87" spans="1:12">
      <c r="A87" s="719" t="s">
        <v>1579</v>
      </c>
      <c r="B87" s="720" t="s">
        <v>1751</v>
      </c>
      <c r="C87" s="721" t="s">
        <v>1752</v>
      </c>
      <c r="D87" s="720" t="s">
        <v>1582</v>
      </c>
      <c r="E87" s="718" t="s"/>
      <c r="F87" s="718" t="s"/>
      <c r="G87" s="718" t="s"/>
      <c r="H87" s="718" t="s"/>
      <c r="I87" s="718" t="s"/>
      <c r="J87" s="718" t="s"/>
      <c r="K87" s="718" t="s"/>
      <c r="L87" s="718" t="s"/>
    </row>
    <row r="88" spans="1:12">
      <c r="A88" s="719" t="s">
        <v>1579</v>
      </c>
      <c r="B88" s="720" t="s">
        <v>1753</v>
      </c>
      <c r="C88" s="721" t="s">
        <v>1754</v>
      </c>
      <c r="D88" s="720" t="s">
        <v>1582</v>
      </c>
      <c r="E88" s="718" t="s"/>
      <c r="F88" s="718" t="s"/>
      <c r="G88" s="718" t="s"/>
      <c r="H88" s="718" t="s"/>
      <c r="I88" s="718" t="s"/>
      <c r="J88" s="718" t="s"/>
      <c r="K88" s="718" t="s"/>
      <c r="L88" s="718" t="s"/>
    </row>
    <row r="89" spans="1:12">
      <c r="A89" s="719" t="s">
        <v>1579</v>
      </c>
      <c r="B89" s="720" t="s">
        <v>1755</v>
      </c>
      <c r="C89" s="721" t="s">
        <v>1756</v>
      </c>
      <c r="D89" s="720" t="s">
        <v>1582</v>
      </c>
      <c r="E89" s="718" t="s"/>
      <c r="F89" s="718" t="s"/>
      <c r="G89" s="718" t="s"/>
      <c r="H89" s="718" t="s"/>
      <c r="I89" s="718" t="s"/>
      <c r="J89" s="718" t="s"/>
      <c r="K89" s="718" t="s"/>
      <c r="L89" s="718" t="s"/>
    </row>
    <row r="90" spans="1:12">
      <c r="A90" s="719" t="s">
        <v>1579</v>
      </c>
      <c r="B90" s="720" t="s">
        <v>1757</v>
      </c>
      <c r="C90" s="721" t="s">
        <v>1758</v>
      </c>
      <c r="D90" s="720" t="s">
        <v>1582</v>
      </c>
      <c r="E90" s="718" t="s"/>
      <c r="F90" s="718" t="s"/>
      <c r="G90" s="718" t="s"/>
      <c r="H90" s="718" t="s"/>
      <c r="I90" s="718" t="s"/>
      <c r="J90" s="718" t="s"/>
      <c r="K90" s="718" t="s"/>
      <c r="L90" s="718" t="s"/>
    </row>
    <row r="91" spans="1:12">
      <c r="A91" s="719" t="s">
        <v>1579</v>
      </c>
      <c r="B91" s="720" t="s">
        <v>1759</v>
      </c>
      <c r="C91" s="721" t="s">
        <v>1760</v>
      </c>
      <c r="D91" s="720" t="s">
        <v>1582</v>
      </c>
      <c r="E91" s="718" t="s"/>
      <c r="F91" s="718" t="s"/>
      <c r="G91" s="718" t="s"/>
      <c r="H91" s="718" t="s"/>
      <c r="I91" s="718" t="s"/>
      <c r="J91" s="718" t="s"/>
      <c r="K91" s="718" t="s"/>
      <c r="L91" s="718" t="s"/>
    </row>
    <row r="92" spans="1:12">
      <c r="A92" s="719" t="s">
        <v>1579</v>
      </c>
      <c r="B92" s="720" t="s">
        <v>1761</v>
      </c>
      <c r="C92" s="721" t="s">
        <v>1762</v>
      </c>
      <c r="D92" s="720" t="s">
        <v>1582</v>
      </c>
      <c r="E92" s="718" t="s"/>
      <c r="F92" s="718" t="s"/>
      <c r="G92" s="718" t="s"/>
      <c r="H92" s="718" t="s"/>
      <c r="I92" s="718" t="s"/>
      <c r="J92" s="718" t="s"/>
      <c r="K92" s="718" t="s"/>
      <c r="L92" s="718" t="s"/>
    </row>
    <row r="93" spans="1:12">
      <c r="A93" s="719" t="s">
        <v>1579</v>
      </c>
      <c r="B93" s="720" t="s">
        <v>1763</v>
      </c>
      <c r="C93" s="721" t="s">
        <v>1764</v>
      </c>
      <c r="D93" s="720" t="s">
        <v>1582</v>
      </c>
      <c r="E93" s="718" t="s"/>
      <c r="F93" s="718" t="s"/>
      <c r="G93" s="718" t="s"/>
      <c r="H93" s="718" t="s"/>
      <c r="I93" s="718" t="s"/>
      <c r="J93" s="718" t="s"/>
      <c r="K93" s="718" t="s"/>
      <c r="L93" s="718" t="s"/>
    </row>
    <row r="94" spans="1:12">
      <c r="A94" s="719" t="s">
        <v>1579</v>
      </c>
      <c r="B94" s="720" t="s">
        <v>1765</v>
      </c>
      <c r="C94" s="721" t="s">
        <v>1766</v>
      </c>
      <c r="D94" s="720" t="s">
        <v>1582</v>
      </c>
      <c r="E94" s="718" t="s"/>
      <c r="F94" s="718" t="s"/>
      <c r="G94" s="718" t="s"/>
      <c r="H94" s="718" t="s"/>
      <c r="I94" s="718" t="s"/>
      <c r="J94" s="718" t="s"/>
      <c r="K94" s="718" t="s"/>
      <c r="L94" s="718" t="s"/>
    </row>
    <row r="95" spans="1:12">
      <c r="A95" s="719" t="s">
        <v>1579</v>
      </c>
      <c r="B95" s="720" t="s">
        <v>1767</v>
      </c>
      <c r="C95" s="721" t="s">
        <v>1768</v>
      </c>
      <c r="D95" s="720" t="s">
        <v>1582</v>
      </c>
      <c r="E95" s="718" t="s"/>
      <c r="F95" s="718" t="s"/>
      <c r="G95" s="718" t="s"/>
      <c r="H95" s="718" t="s"/>
      <c r="I95" s="718" t="s"/>
      <c r="J95" s="718" t="s"/>
      <c r="K95" s="718" t="s"/>
      <c r="L95" s="718" t="s"/>
    </row>
    <row r="96" spans="1:12">
      <c r="A96" s="719" t="s">
        <v>1579</v>
      </c>
      <c r="B96" s="720" t="s">
        <v>1769</v>
      </c>
      <c r="C96" s="721" t="s">
        <v>1770</v>
      </c>
      <c r="D96" s="720" t="s">
        <v>1582</v>
      </c>
      <c r="E96" s="718" t="s"/>
      <c r="F96" s="718" t="s"/>
      <c r="G96" s="718" t="s"/>
      <c r="H96" s="718" t="s"/>
      <c r="I96" s="718" t="s"/>
      <c r="J96" s="718" t="s"/>
      <c r="K96" s="718" t="s"/>
      <c r="L96" s="718" t="s"/>
    </row>
    <row r="97" spans="1:12">
      <c r="A97" s="719" t="s">
        <v>1579</v>
      </c>
      <c r="B97" s="720" t="s">
        <v>1771</v>
      </c>
      <c r="C97" s="721" t="s">
        <v>1772</v>
      </c>
      <c r="D97" s="720" t="s">
        <v>1582</v>
      </c>
      <c r="E97" s="718" t="s"/>
      <c r="F97" s="718" t="s"/>
      <c r="G97" s="718" t="s"/>
      <c r="H97" s="718" t="s"/>
      <c r="I97" s="718" t="s"/>
      <c r="J97" s="718" t="s"/>
      <c r="K97" s="718" t="s"/>
      <c r="L97" s="718" t="s"/>
    </row>
    <row r="98" spans="1:12">
      <c r="A98" s="719" t="s">
        <v>1579</v>
      </c>
      <c r="B98" s="720" t="s">
        <v>1773</v>
      </c>
      <c r="C98" s="721" t="s">
        <v>1774</v>
      </c>
      <c r="D98" s="720" t="s">
        <v>1582</v>
      </c>
      <c r="E98" s="718" t="s"/>
      <c r="F98" s="718" t="s"/>
      <c r="G98" s="718" t="s"/>
      <c r="H98" s="718" t="s"/>
      <c r="I98" s="718" t="s"/>
      <c r="J98" s="718" t="s"/>
      <c r="K98" s="718" t="s"/>
      <c r="L98" s="718" t="s"/>
    </row>
    <row r="99" spans="1:12">
      <c r="A99" s="719" t="s">
        <v>1579</v>
      </c>
      <c r="B99" s="720" t="s">
        <v>1775</v>
      </c>
      <c r="C99" s="721" t="s">
        <v>1776</v>
      </c>
      <c r="D99" s="720" t="s">
        <v>1582</v>
      </c>
      <c r="E99" s="718" t="s"/>
      <c r="F99" s="718" t="s"/>
      <c r="G99" s="718" t="s"/>
      <c r="H99" s="718" t="s"/>
      <c r="I99" s="718" t="s"/>
      <c r="J99" s="718" t="s"/>
      <c r="K99" s="718" t="s"/>
      <c r="L99" s="718" t="s"/>
    </row>
    <row r="100" spans="1:12">
      <c r="A100" s="719" t="s">
        <v>1579</v>
      </c>
      <c r="B100" s="720" t="s">
        <v>1777</v>
      </c>
      <c r="C100" s="721" t="s">
        <v>1778</v>
      </c>
      <c r="D100" s="720" t="s">
        <v>1582</v>
      </c>
      <c r="E100" s="718" t="s"/>
      <c r="F100" s="718" t="s"/>
      <c r="G100" s="718" t="s"/>
      <c r="H100" s="718" t="s"/>
      <c r="I100" s="718" t="s"/>
      <c r="J100" s="718" t="s"/>
      <c r="K100" s="718" t="s"/>
      <c r="L100" s="718" t="s"/>
    </row>
    <row r="101" spans="1:12">
      <c r="A101" s="719" t="s">
        <v>1579</v>
      </c>
      <c r="B101" s="720" t="s">
        <v>1779</v>
      </c>
      <c r="C101" s="721" t="s">
        <v>1780</v>
      </c>
      <c r="D101" s="720" t="s">
        <v>1582</v>
      </c>
      <c r="E101" s="718" t="s"/>
      <c r="F101" s="718" t="s"/>
      <c r="G101" s="718" t="s"/>
      <c r="H101" s="718" t="s"/>
      <c r="I101" s="718" t="s"/>
      <c r="J101" s="718" t="s"/>
      <c r="K101" s="718" t="s"/>
      <c r="L101" s="718" t="s"/>
    </row>
    <row r="102" spans="1:12">
      <c r="A102" s="719" t="s">
        <v>1579</v>
      </c>
      <c r="B102" s="720" t="s">
        <v>1781</v>
      </c>
      <c r="C102" s="721" t="s">
        <v>1782</v>
      </c>
      <c r="D102" s="720" t="s">
        <v>1582</v>
      </c>
      <c r="E102" s="718" t="s"/>
      <c r="F102" s="718" t="s"/>
      <c r="G102" s="718" t="s"/>
      <c r="H102" s="718" t="s"/>
      <c r="I102" s="718" t="s"/>
      <c r="J102" s="718" t="s"/>
      <c r="K102" s="718" t="s"/>
      <c r="L102" s="718" t="s"/>
    </row>
    <row r="103" spans="1:12">
      <c r="A103" s="719" t="s">
        <v>1579</v>
      </c>
      <c r="B103" s="720" t="s">
        <v>1783</v>
      </c>
      <c r="C103" s="721" t="s">
        <v>1784</v>
      </c>
      <c r="D103" s="720" t="s">
        <v>1582</v>
      </c>
      <c r="E103" s="718" t="s"/>
      <c r="F103" s="718" t="s"/>
      <c r="G103" s="718" t="s"/>
      <c r="H103" s="718" t="s"/>
      <c r="I103" s="718" t="s"/>
      <c r="J103" s="718" t="s"/>
      <c r="K103" s="718" t="s"/>
      <c r="L103" s="718" t="s"/>
    </row>
    <row r="104" spans="1:12">
      <c r="A104" s="719" t="s">
        <v>1579</v>
      </c>
      <c r="B104" s="720" t="s">
        <v>1785</v>
      </c>
      <c r="C104" s="721" t="s">
        <v>1786</v>
      </c>
      <c r="D104" s="720" t="s">
        <v>1582</v>
      </c>
      <c r="E104" s="718" t="s"/>
      <c r="F104" s="718" t="s"/>
      <c r="G104" s="718" t="s"/>
      <c r="H104" s="718" t="s"/>
      <c r="I104" s="718" t="s"/>
      <c r="J104" s="718" t="s"/>
      <c r="K104" s="718" t="s"/>
      <c r="L104" s="718" t="s"/>
    </row>
    <row r="105" spans="1:12">
      <c r="A105" s="719" t="s">
        <v>1579</v>
      </c>
      <c r="B105" s="720" t="s">
        <v>1787</v>
      </c>
      <c r="C105" s="721" t="s">
        <v>1788</v>
      </c>
      <c r="D105" s="720" t="s">
        <v>1582</v>
      </c>
      <c r="E105" s="718" t="s"/>
      <c r="F105" s="718" t="s"/>
      <c r="G105" s="718" t="s"/>
      <c r="H105" s="718" t="s"/>
      <c r="I105" s="718" t="s"/>
      <c r="J105" s="718" t="s"/>
      <c r="K105" s="718" t="s"/>
      <c r="L105" s="718" t="s"/>
    </row>
    <row r="106" spans="1:12">
      <c r="A106" s="719" t="s">
        <v>1579</v>
      </c>
      <c r="B106" s="720" t="s">
        <v>1789</v>
      </c>
      <c r="C106" s="721" t="s">
        <v>1790</v>
      </c>
      <c r="D106" s="720" t="s">
        <v>1582</v>
      </c>
      <c r="E106" s="718" t="s"/>
      <c r="F106" s="718" t="s"/>
      <c r="G106" s="718" t="s"/>
      <c r="H106" s="718" t="s"/>
      <c r="I106" s="718" t="s"/>
      <c r="J106" s="718" t="s"/>
      <c r="K106" s="718" t="s"/>
      <c r="L106" s="718" t="s"/>
    </row>
    <row r="107" spans="1:12">
      <c r="A107" s="719" t="s">
        <v>1579</v>
      </c>
      <c r="B107" s="720" t="s">
        <v>1791</v>
      </c>
      <c r="C107" s="721" t="s">
        <v>1792</v>
      </c>
      <c r="D107" s="720" t="s">
        <v>1582</v>
      </c>
      <c r="E107" s="718" t="s"/>
      <c r="F107" s="718" t="s"/>
      <c r="G107" s="718" t="s"/>
      <c r="H107" s="718" t="s"/>
      <c r="I107" s="718" t="s"/>
      <c r="J107" s="718" t="s"/>
      <c r="K107" s="718" t="s"/>
      <c r="L107" s="718" t="s"/>
    </row>
    <row r="108" spans="1:12">
      <c r="A108" s="719" t="s">
        <v>1579</v>
      </c>
      <c r="B108" s="720" t="s">
        <v>1793</v>
      </c>
      <c r="C108" s="721" t="s">
        <v>1794</v>
      </c>
      <c r="D108" s="720" t="s">
        <v>1582</v>
      </c>
      <c r="E108" s="718" t="s"/>
      <c r="F108" s="718" t="s"/>
      <c r="G108" s="718" t="s"/>
      <c r="H108" s="718" t="s"/>
      <c r="I108" s="718" t="s"/>
      <c r="J108" s="718" t="s"/>
      <c r="K108" s="718" t="s"/>
      <c r="L108" s="718" t="s"/>
    </row>
    <row r="109" spans="1:12">
      <c r="A109" s="719" t="s">
        <v>1579</v>
      </c>
      <c r="B109" s="720" t="s">
        <v>1795</v>
      </c>
      <c r="C109" s="721" t="s">
        <v>1796</v>
      </c>
      <c r="D109" s="720" t="s">
        <v>1582</v>
      </c>
      <c r="E109" s="718" t="s"/>
      <c r="F109" s="718" t="s"/>
      <c r="G109" s="718" t="s"/>
      <c r="H109" s="718" t="s"/>
      <c r="I109" s="718" t="s"/>
      <c r="J109" s="718" t="s"/>
      <c r="K109" s="718" t="s"/>
      <c r="L109" s="718" t="s"/>
    </row>
    <row r="110" spans="1:12">
      <c r="A110" s="719" t="s">
        <v>1579</v>
      </c>
      <c r="B110" s="720" t="s">
        <v>1797</v>
      </c>
      <c r="C110" s="721" t="s">
        <v>1798</v>
      </c>
      <c r="D110" s="720" t="s">
        <v>1582</v>
      </c>
      <c r="E110" s="718" t="s"/>
      <c r="F110" s="718" t="s"/>
      <c r="G110" s="718" t="s"/>
      <c r="H110" s="718" t="s"/>
      <c r="I110" s="718" t="s"/>
      <c r="J110" s="718" t="s"/>
      <c r="K110" s="718" t="s"/>
      <c r="L110" s="718" t="s"/>
    </row>
    <row r="111" spans="1:12">
      <c r="A111" s="719" t="s">
        <v>1579</v>
      </c>
      <c r="B111" s="720" t="s">
        <v>1799</v>
      </c>
      <c r="C111" s="721" t="s">
        <v>1800</v>
      </c>
      <c r="D111" s="720" t="s">
        <v>1582</v>
      </c>
      <c r="E111" s="718" t="s"/>
      <c r="F111" s="718" t="s"/>
      <c r="G111" s="718" t="s"/>
      <c r="H111" s="718" t="s"/>
      <c r="I111" s="718" t="s"/>
      <c r="J111" s="718" t="s"/>
      <c r="K111" s="718" t="s"/>
      <c r="L111" s="718" t="s"/>
    </row>
    <row r="112" spans="1:12">
      <c r="A112" s="719" t="s">
        <v>1579</v>
      </c>
      <c r="B112" s="720" t="s">
        <v>1801</v>
      </c>
      <c r="C112" s="721" t="s">
        <v>1802</v>
      </c>
      <c r="D112" s="720" t="s">
        <v>1582</v>
      </c>
      <c r="E112" s="718" t="s"/>
      <c r="F112" s="718" t="s"/>
      <c r="G112" s="718" t="s"/>
      <c r="H112" s="718" t="s"/>
      <c r="I112" s="718" t="s"/>
      <c r="J112" s="718" t="s"/>
      <c r="K112" s="718" t="s"/>
      <c r="L112" s="718" t="s"/>
    </row>
    <row r="113" spans="1:12">
      <c r="A113" s="719" t="s">
        <v>1579</v>
      </c>
      <c r="B113" s="720" t="s">
        <v>1803</v>
      </c>
      <c r="C113" s="721" t="s">
        <v>1804</v>
      </c>
      <c r="D113" s="720" t="s">
        <v>1582</v>
      </c>
      <c r="E113" s="718" t="s"/>
      <c r="F113" s="718" t="s"/>
      <c r="G113" s="718" t="s"/>
      <c r="H113" s="718" t="s"/>
      <c r="I113" s="718" t="s"/>
      <c r="J113" s="718" t="s"/>
      <c r="K113" s="718" t="s"/>
      <c r="L113" s="718" t="s"/>
    </row>
    <row r="114" spans="1:12">
      <c r="A114" s="719" t="s">
        <v>1579</v>
      </c>
      <c r="B114" s="720" t="s">
        <v>1805</v>
      </c>
      <c r="C114" s="721" t="s">
        <v>1806</v>
      </c>
      <c r="D114" s="720" t="s">
        <v>1582</v>
      </c>
      <c r="E114" s="718" t="s"/>
      <c r="F114" s="718" t="s"/>
      <c r="G114" s="718" t="s"/>
      <c r="H114" s="718" t="s"/>
      <c r="I114" s="718" t="s"/>
      <c r="J114" s="718" t="s"/>
      <c r="K114" s="718" t="s"/>
      <c r="L114" s="718" t="s"/>
    </row>
    <row r="115" spans="1:12">
      <c r="A115" s="719" t="s">
        <v>1579</v>
      </c>
      <c r="B115" s="720" t="s">
        <v>1807</v>
      </c>
      <c r="C115" s="721" t="s">
        <v>1808</v>
      </c>
      <c r="D115" s="720" t="s">
        <v>1582</v>
      </c>
      <c r="E115" s="718" t="s"/>
      <c r="F115" s="718" t="s"/>
      <c r="G115" s="718" t="s"/>
      <c r="H115" s="718" t="s"/>
      <c r="I115" s="718" t="s"/>
      <c r="J115" s="718" t="s"/>
      <c r="K115" s="718" t="s"/>
      <c r="L115" s="718" t="s"/>
    </row>
    <row r="116" spans="1:12">
      <c r="A116" s="719" t="s">
        <v>1579</v>
      </c>
      <c r="B116" s="720" t="s">
        <v>1809</v>
      </c>
      <c r="C116" s="721" t="s">
        <v>1810</v>
      </c>
      <c r="D116" s="720" t="s">
        <v>1582</v>
      </c>
      <c r="E116" s="718" t="s"/>
      <c r="F116" s="718" t="s"/>
      <c r="G116" s="718" t="s"/>
      <c r="H116" s="718" t="s"/>
      <c r="I116" s="718" t="s"/>
      <c r="J116" s="718" t="s"/>
      <c r="K116" s="718" t="s"/>
      <c r="L116" s="718" t="s"/>
    </row>
    <row r="117" spans="1:12">
      <c r="A117" s="719" t="s">
        <v>1579</v>
      </c>
      <c r="B117" s="720" t="s">
        <v>1811</v>
      </c>
      <c r="C117" s="721" t="s">
        <v>1812</v>
      </c>
      <c r="D117" s="720" t="s">
        <v>1582</v>
      </c>
      <c r="E117" s="718" t="s"/>
      <c r="F117" s="718" t="s"/>
      <c r="G117" s="718" t="s"/>
      <c r="H117" s="718" t="s"/>
      <c r="I117" s="718" t="s"/>
      <c r="J117" s="718" t="s"/>
      <c r="K117" s="718" t="s"/>
      <c r="L117" s="718" t="s"/>
    </row>
    <row r="118" spans="1:12">
      <c r="A118" s="719" t="s">
        <v>1579</v>
      </c>
      <c r="B118" s="720" t="s">
        <v>1813</v>
      </c>
      <c r="C118" s="721" t="s">
        <v>1814</v>
      </c>
      <c r="D118" s="720" t="s">
        <v>1582</v>
      </c>
      <c r="E118" s="718" t="s"/>
      <c r="F118" s="718" t="s"/>
      <c r="G118" s="718" t="s"/>
      <c r="H118" s="718" t="s"/>
      <c r="I118" s="718" t="s"/>
      <c r="J118" s="718" t="s"/>
      <c r="K118" s="718" t="s"/>
      <c r="L118" s="718" t="s"/>
    </row>
    <row r="119" spans="1:12">
      <c r="A119" s="719" t="s">
        <v>1579</v>
      </c>
      <c r="B119" s="720" t="s">
        <v>1815</v>
      </c>
      <c r="C119" s="721" t="s">
        <v>1816</v>
      </c>
      <c r="D119" s="720" t="s">
        <v>1582</v>
      </c>
      <c r="E119" s="718" t="s"/>
      <c r="F119" s="718" t="s"/>
      <c r="G119" s="718" t="s"/>
      <c r="H119" s="718" t="s"/>
      <c r="I119" s="718" t="s"/>
      <c r="J119" s="718" t="s"/>
      <c r="K119" s="718" t="s"/>
      <c r="L119" s="718" t="s"/>
    </row>
    <row r="120" spans="1:12">
      <c r="A120" s="719" t="s">
        <v>1579</v>
      </c>
      <c r="B120" s="720" t="s">
        <v>1817</v>
      </c>
      <c r="C120" s="721" t="s">
        <v>1818</v>
      </c>
      <c r="D120" s="720" t="s">
        <v>1582</v>
      </c>
      <c r="E120" s="718" t="s"/>
      <c r="F120" s="718" t="s"/>
      <c r="G120" s="718" t="s"/>
      <c r="H120" s="718" t="s"/>
      <c r="I120" s="718" t="s"/>
      <c r="J120" s="718" t="s"/>
      <c r="K120" s="718" t="s"/>
      <c r="L120" s="718" t="s"/>
    </row>
    <row r="121" spans="1:12">
      <c r="A121" s="719" t="s">
        <v>1579</v>
      </c>
      <c r="B121" s="720" t="s">
        <v>1819</v>
      </c>
      <c r="C121" s="721" t="s">
        <v>1820</v>
      </c>
      <c r="D121" s="720" t="s">
        <v>1582</v>
      </c>
      <c r="E121" s="718" t="s"/>
      <c r="F121" s="718" t="s"/>
      <c r="G121" s="718" t="s"/>
      <c r="H121" s="718" t="s"/>
      <c r="I121" s="718" t="s"/>
      <c r="J121" s="718" t="s"/>
      <c r="K121" s="718" t="s"/>
      <c r="L121" s="718" t="s"/>
    </row>
    <row r="122" spans="1:12">
      <c r="A122" s="719" t="s">
        <v>1579</v>
      </c>
      <c r="B122" s="720" t="s">
        <v>1821</v>
      </c>
      <c r="C122" s="721" t="s">
        <v>1822</v>
      </c>
      <c r="D122" s="720" t="s">
        <v>1582</v>
      </c>
      <c r="E122" s="718" t="s"/>
      <c r="F122" s="718" t="s"/>
      <c r="G122" s="718" t="s"/>
      <c r="H122" s="718" t="s"/>
      <c r="I122" s="718" t="s"/>
      <c r="J122" s="718" t="s"/>
      <c r="K122" s="718" t="s"/>
      <c r="L122" s="718" t="s"/>
    </row>
    <row r="123" spans="1:12">
      <c r="A123" s="719" t="s">
        <v>1579</v>
      </c>
      <c r="B123" s="720" t="s">
        <v>1823</v>
      </c>
      <c r="C123" s="721" t="s">
        <v>1824</v>
      </c>
      <c r="D123" s="720" t="s">
        <v>1582</v>
      </c>
      <c r="E123" s="718" t="s"/>
      <c r="F123" s="718" t="s"/>
      <c r="G123" s="718" t="s"/>
      <c r="H123" s="718" t="s"/>
      <c r="I123" s="718" t="s"/>
      <c r="J123" s="718" t="s"/>
      <c r="K123" s="718" t="s"/>
      <c r="L123" s="718" t="s"/>
    </row>
    <row r="124" spans="1:12">
      <c r="A124" s="719" t="s">
        <v>1579</v>
      </c>
      <c r="B124" s="720" t="s">
        <v>1825</v>
      </c>
      <c r="C124" s="721" t="s">
        <v>1826</v>
      </c>
      <c r="D124" s="720" t="s">
        <v>1582</v>
      </c>
      <c r="E124" s="718" t="s"/>
      <c r="F124" s="718" t="s"/>
      <c r="G124" s="718" t="s"/>
      <c r="H124" s="718" t="s"/>
      <c r="I124" s="718" t="s"/>
      <c r="J124" s="718" t="s"/>
      <c r="K124" s="718" t="s"/>
      <c r="L124" s="718" t="s"/>
    </row>
    <row r="125" spans="1:12">
      <c r="A125" s="719" t="s">
        <v>1579</v>
      </c>
      <c r="B125" s="720" t="s">
        <v>1827</v>
      </c>
      <c r="C125" s="721" t="s">
        <v>1828</v>
      </c>
      <c r="D125" s="720" t="s">
        <v>1582</v>
      </c>
      <c r="E125" s="718" t="s"/>
      <c r="F125" s="718" t="s"/>
      <c r="G125" s="718" t="s"/>
      <c r="H125" s="718" t="s"/>
      <c r="I125" s="718" t="s"/>
      <c r="J125" s="718" t="s"/>
      <c r="K125" s="718" t="s"/>
      <c r="L125" s="718" t="s"/>
    </row>
    <row r="126" spans="1:12">
      <c r="A126" s="719" t="s">
        <v>1579</v>
      </c>
      <c r="B126" s="720" t="s">
        <v>1829</v>
      </c>
      <c r="C126" s="721" t="s">
        <v>1830</v>
      </c>
      <c r="D126" s="720" t="s">
        <v>1582</v>
      </c>
      <c r="E126" s="718" t="s"/>
      <c r="F126" s="718" t="s"/>
      <c r="G126" s="718" t="s"/>
      <c r="H126" s="718" t="s"/>
      <c r="I126" s="718" t="s"/>
      <c r="J126" s="718" t="s"/>
      <c r="K126" s="718" t="s"/>
      <c r="L126" s="718" t="s"/>
    </row>
    <row r="127" spans="1:12">
      <c r="A127" s="719" t="s">
        <v>1579</v>
      </c>
      <c r="B127" s="720" t="s">
        <v>1831</v>
      </c>
      <c r="C127" s="721" t="s">
        <v>1832</v>
      </c>
      <c r="D127" s="720" t="s">
        <v>1582</v>
      </c>
      <c r="E127" s="718" t="s"/>
      <c r="F127" s="718" t="s"/>
      <c r="G127" s="718" t="s"/>
      <c r="H127" s="718" t="s"/>
      <c r="I127" s="718" t="s"/>
      <c r="J127" s="718" t="s"/>
      <c r="K127" s="718" t="s"/>
      <c r="L127" s="718" t="s"/>
    </row>
    <row r="128" spans="1:12">
      <c r="A128" s="719" t="s">
        <v>1579</v>
      </c>
      <c r="B128" s="720" t="s">
        <v>1833</v>
      </c>
      <c r="C128" s="721" t="s">
        <v>1834</v>
      </c>
      <c r="D128" s="720" t="s">
        <v>1582</v>
      </c>
      <c r="E128" s="718" t="s"/>
      <c r="F128" s="718" t="s"/>
      <c r="G128" s="718" t="s"/>
      <c r="H128" s="718" t="s"/>
      <c r="I128" s="718" t="s"/>
      <c r="J128" s="718" t="s"/>
      <c r="K128" s="718" t="s"/>
      <c r="L128" s="718" t="s"/>
    </row>
    <row r="129" spans="1:12">
      <c r="A129" s="719" t="s">
        <v>1579</v>
      </c>
      <c r="B129" s="720" t="s">
        <v>1835</v>
      </c>
      <c r="C129" s="721" t="s">
        <v>1836</v>
      </c>
      <c r="D129" s="720" t="s">
        <v>1582</v>
      </c>
      <c r="E129" s="718" t="s"/>
      <c r="F129" s="718" t="s"/>
      <c r="G129" s="718" t="s"/>
      <c r="H129" s="718" t="s"/>
      <c r="I129" s="718" t="s"/>
      <c r="J129" s="718" t="s"/>
      <c r="K129" s="718" t="s"/>
      <c r="L129" s="718" t="s"/>
    </row>
    <row r="130" spans="1:12">
      <c r="A130" s="719" t="s">
        <v>1579</v>
      </c>
      <c r="B130" s="720" t="s">
        <v>1837</v>
      </c>
      <c r="C130" s="721" t="s">
        <v>1838</v>
      </c>
      <c r="D130" s="720" t="s">
        <v>1582</v>
      </c>
      <c r="E130" s="718" t="s"/>
      <c r="F130" s="718" t="s"/>
      <c r="G130" s="718" t="s"/>
      <c r="H130" s="718" t="s"/>
      <c r="I130" s="718" t="s"/>
      <c r="J130" s="718" t="s"/>
      <c r="K130" s="718" t="s"/>
      <c r="L130" s="718" t="s"/>
    </row>
    <row r="131" spans="1:12">
      <c r="A131" s="719" t="s">
        <v>1579</v>
      </c>
      <c r="B131" s="720" t="s">
        <v>1839</v>
      </c>
      <c r="C131" s="721" t="s">
        <v>1840</v>
      </c>
      <c r="D131" s="720" t="s">
        <v>1582</v>
      </c>
      <c r="E131" s="718" t="s"/>
      <c r="F131" s="718" t="s"/>
      <c r="G131" s="718" t="s"/>
      <c r="H131" s="718" t="s"/>
      <c r="I131" s="718" t="s"/>
      <c r="J131" s="718" t="s"/>
      <c r="K131" s="718" t="s"/>
      <c r="L131" s="718" t="s"/>
    </row>
    <row r="132" spans="1:12">
      <c r="A132" s="719" t="s">
        <v>1579</v>
      </c>
      <c r="B132" s="720" t="s">
        <v>1841</v>
      </c>
      <c r="C132" s="721" t="s">
        <v>1842</v>
      </c>
      <c r="D132" s="720" t="s">
        <v>1582</v>
      </c>
      <c r="E132" s="718" t="s"/>
      <c r="F132" s="718" t="s"/>
      <c r="G132" s="718" t="s"/>
      <c r="H132" s="718" t="s"/>
      <c r="I132" s="718" t="s"/>
      <c r="J132" s="718" t="s"/>
      <c r="K132" s="718" t="s"/>
      <c r="L132" s="718" t="s"/>
    </row>
    <row r="133" spans="1:12">
      <c r="A133" s="719" t="s">
        <v>1579</v>
      </c>
      <c r="B133" s="720" t="s">
        <v>1843</v>
      </c>
      <c r="C133" s="721" t="s">
        <v>1844</v>
      </c>
      <c r="D133" s="720" t="s">
        <v>1582</v>
      </c>
      <c r="E133" s="718" t="s"/>
      <c r="F133" s="718" t="s"/>
      <c r="G133" s="718" t="s"/>
      <c r="H133" s="718" t="s"/>
      <c r="I133" s="718" t="s"/>
      <c r="J133" s="718" t="s"/>
      <c r="K133" s="718" t="s"/>
      <c r="L133" s="718" t="s"/>
    </row>
    <row r="134" spans="1:12">
      <c r="A134" s="719" t="s">
        <v>1579</v>
      </c>
      <c r="B134" s="720" t="s">
        <v>1845</v>
      </c>
      <c r="C134" s="721" t="s">
        <v>1846</v>
      </c>
      <c r="D134" s="720" t="s">
        <v>1582</v>
      </c>
      <c r="E134" s="718" t="s"/>
      <c r="F134" s="718" t="s"/>
      <c r="G134" s="718" t="s"/>
      <c r="H134" s="718" t="s"/>
      <c r="I134" s="718" t="s"/>
      <c r="J134" s="718" t="s"/>
      <c r="K134" s="718" t="s"/>
      <c r="L134" s="718" t="s"/>
    </row>
    <row r="135" spans="1:12">
      <c r="A135" s="719" t="s">
        <v>1579</v>
      </c>
      <c r="B135" s="720" t="s">
        <v>1847</v>
      </c>
      <c r="C135" s="721" t="s">
        <v>1848</v>
      </c>
      <c r="D135" s="720" t="s">
        <v>1582</v>
      </c>
      <c r="E135" s="718" t="s"/>
      <c r="F135" s="718" t="s"/>
      <c r="G135" s="718" t="s"/>
      <c r="H135" s="718" t="s"/>
      <c r="I135" s="718" t="s"/>
      <c r="J135" s="718" t="s"/>
      <c r="K135" s="718" t="s"/>
      <c r="L135" s="718" t="s"/>
    </row>
    <row r="136" spans="1:12">
      <c r="A136" s="719" t="s">
        <v>1579</v>
      </c>
      <c r="B136" s="720" t="s">
        <v>1849</v>
      </c>
      <c r="C136" s="721" t="s">
        <v>1850</v>
      </c>
      <c r="D136" s="720" t="s">
        <v>1582</v>
      </c>
      <c r="E136" s="718" t="s"/>
      <c r="F136" s="718" t="s"/>
      <c r="G136" s="718" t="s"/>
      <c r="H136" s="718" t="s"/>
      <c r="I136" s="718" t="s"/>
      <c r="J136" s="718" t="s"/>
      <c r="K136" s="718" t="s"/>
      <c r="L136" s="718" t="s"/>
    </row>
    <row r="137" spans="1:12">
      <c r="A137" s="719" t="s">
        <v>1579</v>
      </c>
      <c r="B137" s="720" t="s">
        <v>1851</v>
      </c>
      <c r="C137" s="721" t="s">
        <v>1852</v>
      </c>
      <c r="D137" s="720" t="s">
        <v>1582</v>
      </c>
      <c r="E137" s="718" t="s"/>
      <c r="F137" s="718" t="s"/>
      <c r="G137" s="718" t="s"/>
      <c r="H137" s="718" t="s"/>
      <c r="I137" s="718" t="s"/>
      <c r="J137" s="718" t="s"/>
      <c r="K137" s="718" t="s"/>
      <c r="L137" s="718" t="s"/>
    </row>
    <row r="138" spans="1:12">
      <c r="A138" s="719" t="s">
        <v>1579</v>
      </c>
      <c r="B138" s="720" t="s">
        <v>1853</v>
      </c>
      <c r="C138" s="721" t="s">
        <v>1854</v>
      </c>
      <c r="D138" s="720" t="s">
        <v>1582</v>
      </c>
      <c r="E138" s="718" t="s"/>
      <c r="F138" s="718" t="s"/>
      <c r="G138" s="718" t="s"/>
      <c r="H138" s="718" t="s"/>
      <c r="I138" s="718" t="s"/>
      <c r="J138" s="718" t="s"/>
      <c r="K138" s="718" t="s"/>
      <c r="L138" s="718" t="s"/>
    </row>
    <row r="139" spans="1:12">
      <c r="A139" s="719" t="s">
        <v>1579</v>
      </c>
      <c r="B139" s="720" t="s">
        <v>1855</v>
      </c>
      <c r="C139" s="721" t="s">
        <v>1856</v>
      </c>
      <c r="D139" s="720" t="s">
        <v>1582</v>
      </c>
      <c r="E139" s="718" t="s"/>
      <c r="F139" s="718" t="s"/>
      <c r="G139" s="718" t="s"/>
      <c r="H139" s="718" t="s"/>
      <c r="I139" s="718" t="s"/>
      <c r="J139" s="718" t="s"/>
      <c r="K139" s="718" t="s"/>
      <c r="L139" s="718" t="s"/>
    </row>
    <row r="140" spans="1:12">
      <c r="A140" s="719" t="s">
        <v>1579</v>
      </c>
      <c r="B140" s="720" t="s">
        <v>1857</v>
      </c>
      <c r="C140" s="721" t="s">
        <v>1858</v>
      </c>
      <c r="D140" s="720" t="s">
        <v>1582</v>
      </c>
      <c r="E140" s="718" t="s"/>
      <c r="F140" s="718" t="s"/>
      <c r="G140" s="718" t="s"/>
      <c r="H140" s="718" t="s"/>
      <c r="I140" s="718" t="s"/>
      <c r="J140" s="718" t="s"/>
      <c r="K140" s="718" t="s"/>
      <c r="L140" s="718" t="s"/>
    </row>
    <row r="141" spans="1:12">
      <c r="A141" s="719" t="s">
        <v>1579</v>
      </c>
      <c r="B141" s="720" t="s">
        <v>1859</v>
      </c>
      <c r="C141" s="721" t="s">
        <v>1860</v>
      </c>
      <c r="D141" s="720" t="s">
        <v>1582</v>
      </c>
      <c r="E141" s="718" t="s"/>
      <c r="F141" s="718" t="s"/>
      <c r="G141" s="718" t="s"/>
      <c r="H141" s="718" t="s"/>
      <c r="I141" s="718" t="s"/>
      <c r="J141" s="718" t="s"/>
      <c r="K141" s="718" t="s"/>
      <c r="L141" s="718" t="s"/>
    </row>
    <row r="142" spans="1:12">
      <c r="A142" s="719" t="s">
        <v>1579</v>
      </c>
      <c r="B142" s="720" t="s">
        <v>1861</v>
      </c>
      <c r="C142" s="721" t="s">
        <v>1862</v>
      </c>
      <c r="D142" s="720" t="s">
        <v>1582</v>
      </c>
      <c r="E142" s="718" t="s"/>
      <c r="F142" s="718" t="s"/>
      <c r="G142" s="718" t="s"/>
      <c r="H142" s="718" t="s"/>
      <c r="I142" s="718" t="s"/>
      <c r="J142" s="718" t="s"/>
      <c r="K142" s="718" t="s"/>
      <c r="L142" s="718" t="s"/>
    </row>
    <row r="143" spans="1:12">
      <c r="A143" s="719" t="s">
        <v>1579</v>
      </c>
      <c r="B143" s="720" t="s">
        <v>1863</v>
      </c>
      <c r="C143" s="721" t="s">
        <v>1864</v>
      </c>
      <c r="D143" s="720" t="s">
        <v>1582</v>
      </c>
      <c r="E143" s="718" t="s"/>
      <c r="F143" s="718" t="s"/>
      <c r="G143" s="718" t="s"/>
      <c r="H143" s="718" t="s"/>
      <c r="I143" s="718" t="s"/>
      <c r="J143" s="718" t="s"/>
      <c r="K143" s="718" t="s"/>
      <c r="L143" s="718" t="s"/>
    </row>
    <row r="144" spans="1:12">
      <c r="A144" s="719" t="s">
        <v>1579</v>
      </c>
      <c r="B144" s="720" t="s">
        <v>1865</v>
      </c>
      <c r="C144" s="721" t="s">
        <v>1866</v>
      </c>
      <c r="D144" s="720" t="s">
        <v>1582</v>
      </c>
      <c r="E144" s="718" t="s"/>
      <c r="F144" s="718" t="s"/>
      <c r="G144" s="718" t="s"/>
      <c r="H144" s="718" t="s"/>
      <c r="I144" s="718" t="s"/>
      <c r="J144" s="718" t="s"/>
      <c r="K144" s="718" t="s"/>
      <c r="L144" s="718" t="s"/>
    </row>
    <row r="145" spans="1:12">
      <c r="A145" s="719" t="s">
        <v>1579</v>
      </c>
      <c r="B145" s="720" t="s">
        <v>1867</v>
      </c>
      <c r="C145" s="721" t="s">
        <v>1868</v>
      </c>
      <c r="D145" s="720" t="s">
        <v>1582</v>
      </c>
      <c r="E145" s="718" t="s"/>
      <c r="F145" s="718" t="s"/>
      <c r="G145" s="718" t="s"/>
      <c r="H145" s="718" t="s"/>
      <c r="I145" s="718" t="s"/>
      <c r="J145" s="718" t="s"/>
      <c r="K145" s="718" t="s"/>
      <c r="L145" s="718" t="s"/>
    </row>
    <row r="146" spans="1:12">
      <c r="A146" s="719" t="s">
        <v>1579</v>
      </c>
      <c r="B146" s="720" t="s">
        <v>1869</v>
      </c>
      <c r="C146" s="721" t="s">
        <v>1870</v>
      </c>
      <c r="D146" s="720" t="s">
        <v>1582</v>
      </c>
      <c r="E146" s="718" t="s"/>
      <c r="F146" s="718" t="s"/>
      <c r="G146" s="718" t="s"/>
      <c r="H146" s="718" t="s"/>
      <c r="I146" s="718" t="s"/>
      <c r="J146" s="718" t="s"/>
      <c r="K146" s="718" t="s"/>
      <c r="L146" s="718" t="s"/>
    </row>
    <row r="147" spans="1:12">
      <c r="A147" s="719" t="s">
        <v>1579</v>
      </c>
      <c r="B147" s="720" t="s">
        <v>1871</v>
      </c>
      <c r="C147" s="721" t="s">
        <v>1872</v>
      </c>
      <c r="D147" s="720" t="s">
        <v>1582</v>
      </c>
      <c r="E147" s="718" t="s"/>
      <c r="F147" s="718" t="s"/>
      <c r="G147" s="718" t="s"/>
      <c r="H147" s="718" t="s"/>
      <c r="I147" s="718" t="s"/>
      <c r="J147" s="718" t="s"/>
      <c r="K147" s="718" t="s"/>
      <c r="L147" s="718" t="s"/>
    </row>
    <row r="148" spans="1:12">
      <c r="A148" s="719" t="s">
        <v>1579</v>
      </c>
      <c r="B148" s="720" t="s">
        <v>1873</v>
      </c>
      <c r="C148" s="721" t="s">
        <v>1874</v>
      </c>
      <c r="D148" s="720" t="s">
        <v>1582</v>
      </c>
      <c r="E148" s="718" t="s"/>
      <c r="F148" s="718" t="s"/>
      <c r="G148" s="718" t="s"/>
      <c r="H148" s="718" t="s"/>
      <c r="I148" s="718" t="s"/>
      <c r="J148" s="718" t="s"/>
      <c r="K148" s="718" t="s"/>
      <c r="L148" s="718" t="s"/>
    </row>
    <row r="149" spans="1:12">
      <c r="A149" s="719" t="s">
        <v>1579</v>
      </c>
      <c r="B149" s="720" t="s">
        <v>1875</v>
      </c>
      <c r="C149" s="721" t="s">
        <v>1876</v>
      </c>
      <c r="D149" s="720" t="s">
        <v>1582</v>
      </c>
      <c r="E149" s="718" t="s"/>
      <c r="F149" s="718" t="s"/>
      <c r="G149" s="718" t="s"/>
      <c r="H149" s="718" t="s"/>
      <c r="I149" s="718" t="s"/>
      <c r="J149" s="718" t="s"/>
      <c r="K149" s="718" t="s"/>
      <c r="L149" s="718" t="s"/>
    </row>
    <row r="150" spans="1:12">
      <c r="A150" s="719" t="s">
        <v>1579</v>
      </c>
      <c r="B150" s="720" t="s">
        <v>1877</v>
      </c>
      <c r="C150" s="721" t="s">
        <v>1878</v>
      </c>
      <c r="D150" s="720" t="s">
        <v>1582</v>
      </c>
      <c r="E150" s="718" t="s"/>
      <c r="F150" s="718" t="s"/>
      <c r="G150" s="718" t="s"/>
      <c r="H150" s="718" t="s"/>
      <c r="I150" s="718" t="s"/>
      <c r="J150" s="718" t="s"/>
      <c r="K150" s="718" t="s"/>
      <c r="L150" s="718" t="s"/>
    </row>
    <row r="151" spans="1:12">
      <c r="A151" s="719" t="s">
        <v>1579</v>
      </c>
      <c r="B151" s="720" t="s">
        <v>1879</v>
      </c>
      <c r="C151" s="721" t="s">
        <v>1880</v>
      </c>
      <c r="D151" s="720" t="s">
        <v>1582</v>
      </c>
      <c r="E151" s="718" t="s"/>
      <c r="F151" s="718" t="s"/>
      <c r="G151" s="718" t="s"/>
      <c r="H151" s="718" t="s"/>
      <c r="I151" s="718" t="s"/>
      <c r="J151" s="718" t="s"/>
      <c r="K151" s="718" t="s"/>
      <c r="L151" s="718" t="s"/>
    </row>
    <row r="152" spans="1:12">
      <c r="A152" s="719" t="s">
        <v>1579</v>
      </c>
      <c r="B152" s="720" t="s">
        <v>1881</v>
      </c>
      <c r="C152" s="721" t="s">
        <v>1882</v>
      </c>
      <c r="D152" s="720" t="s">
        <v>894</v>
      </c>
      <c r="E152" s="718" t="s"/>
      <c r="F152" s="718" t="s"/>
      <c r="G152" s="718" t="s"/>
      <c r="H152" s="718" t="s"/>
      <c r="I152" s="718" t="s"/>
      <c r="J152" s="718" t="s"/>
      <c r="K152" s="718" t="s"/>
      <c r="L152" s="718" t="s"/>
    </row>
    <row r="153" spans="1:12">
      <c r="A153" s="719" t="s">
        <v>1579</v>
      </c>
      <c r="B153" s="720" t="s">
        <v>1883</v>
      </c>
      <c r="C153" s="721" t="s">
        <v>1884</v>
      </c>
      <c r="D153" s="720" t="s">
        <v>894</v>
      </c>
      <c r="E153" s="718" t="s"/>
      <c r="F153" s="718" t="s"/>
      <c r="G153" s="718" t="s"/>
      <c r="H153" s="718" t="s"/>
      <c r="I153" s="718" t="s"/>
      <c r="J153" s="718" t="s"/>
      <c r="K153" s="718" t="s"/>
      <c r="L153" s="718" t="s"/>
    </row>
    <row r="154" spans="1:12">
      <c r="A154" s="719" t="s">
        <v>1579</v>
      </c>
      <c r="B154" s="720" t="s">
        <v>1885</v>
      </c>
      <c r="C154" s="721" t="s">
        <v>1886</v>
      </c>
      <c r="D154" s="720" t="s">
        <v>894</v>
      </c>
      <c r="E154" s="718" t="s"/>
      <c r="F154" s="718" t="s"/>
      <c r="G154" s="718" t="s"/>
      <c r="H154" s="718" t="s"/>
      <c r="I154" s="718" t="s"/>
      <c r="J154" s="718" t="s"/>
      <c r="K154" s="718" t="s"/>
      <c r="L154" s="718" t="s"/>
    </row>
    <row r="155" spans="1:12">
      <c r="A155" s="719" t="s">
        <v>1579</v>
      </c>
      <c r="B155" s="720" t="s">
        <v>1887</v>
      </c>
      <c r="C155" s="721" t="s">
        <v>1888</v>
      </c>
      <c r="D155" s="720" t="s">
        <v>894</v>
      </c>
      <c r="E155" s="718" t="s"/>
      <c r="F155" s="718" t="s"/>
      <c r="G155" s="718" t="s"/>
      <c r="H155" s="718" t="s"/>
      <c r="I155" s="718" t="s"/>
      <c r="J155" s="718" t="s"/>
      <c r="K155" s="718" t="s"/>
      <c r="L155" s="718" t="s"/>
    </row>
    <row r="156" spans="1:12">
      <c r="A156" s="719" t="s">
        <v>1579</v>
      </c>
      <c r="B156" s="720" t="s">
        <v>1889</v>
      </c>
      <c r="C156" s="721" t="s">
        <v>1890</v>
      </c>
      <c r="D156" s="720" t="s">
        <v>894</v>
      </c>
      <c r="E156" s="718" t="s"/>
      <c r="F156" s="718" t="s"/>
      <c r="G156" s="718" t="s"/>
      <c r="H156" s="718" t="s"/>
      <c r="I156" s="718" t="s"/>
      <c r="J156" s="718" t="s"/>
      <c r="K156" s="718" t="s"/>
      <c r="L156" s="718" t="s"/>
    </row>
    <row r="157" spans="1:12">
      <c r="A157" s="719" t="s">
        <v>1579</v>
      </c>
      <c r="B157" s="720" t="s">
        <v>1891</v>
      </c>
      <c r="C157" s="721" t="s">
        <v>1892</v>
      </c>
      <c r="D157" s="720" t="s">
        <v>894</v>
      </c>
      <c r="E157" s="718" t="s"/>
      <c r="F157" s="718" t="s"/>
      <c r="G157" s="718" t="s"/>
      <c r="H157" s="718" t="s"/>
      <c r="I157" s="718" t="s"/>
      <c r="J157" s="718" t="s"/>
      <c r="K157" s="718" t="s"/>
      <c r="L157" s="718" t="s"/>
    </row>
    <row r="158" spans="1:12">
      <c r="A158" s="719" t="s">
        <v>1579</v>
      </c>
      <c r="B158" s="720" t="s">
        <v>1893</v>
      </c>
      <c r="C158" s="721" t="s">
        <v>1894</v>
      </c>
      <c r="D158" s="720" t="s">
        <v>894</v>
      </c>
      <c r="E158" s="718" t="s"/>
      <c r="F158" s="718" t="s"/>
      <c r="G158" s="718" t="s"/>
      <c r="H158" s="718" t="s"/>
      <c r="I158" s="718" t="s"/>
      <c r="J158" s="718" t="s"/>
      <c r="K158" s="718" t="s"/>
      <c r="L158" s="718" t="s"/>
    </row>
    <row r="159" spans="1:12">
      <c r="A159" s="719" t="s">
        <v>1579</v>
      </c>
      <c r="B159" s="720" t="s">
        <v>1895</v>
      </c>
      <c r="C159" s="721" t="s">
        <v>1896</v>
      </c>
      <c r="D159" s="720" t="s">
        <v>894</v>
      </c>
      <c r="E159" s="718" t="s"/>
      <c r="F159" s="718" t="s"/>
      <c r="G159" s="718" t="s"/>
      <c r="H159" s="718" t="s"/>
      <c r="I159" s="718" t="s"/>
      <c r="J159" s="718" t="s"/>
      <c r="K159" s="718" t="s"/>
      <c r="L159" s="718" t="s"/>
    </row>
    <row r="160" spans="1:12">
      <c r="A160" s="719" t="s">
        <v>1579</v>
      </c>
      <c r="B160" s="720" t="s">
        <v>1897</v>
      </c>
      <c r="C160" s="721" t="s">
        <v>1898</v>
      </c>
      <c r="D160" s="720" t="s">
        <v>894</v>
      </c>
      <c r="E160" s="718" t="s"/>
      <c r="F160" s="718" t="s"/>
      <c r="G160" s="718" t="s"/>
      <c r="H160" s="718" t="s"/>
      <c r="I160" s="718" t="s"/>
      <c r="J160" s="718" t="s"/>
      <c r="K160" s="718" t="s"/>
      <c r="L160" s="718" t="s"/>
    </row>
    <row r="161" spans="1:12">
      <c r="A161" s="719" t="s">
        <v>1579</v>
      </c>
      <c r="B161" s="720" t="s">
        <v>1899</v>
      </c>
      <c r="C161" s="721" t="s">
        <v>1900</v>
      </c>
      <c r="D161" s="720" t="s">
        <v>894</v>
      </c>
      <c r="E161" s="718" t="s"/>
      <c r="F161" s="718" t="s"/>
      <c r="G161" s="718" t="s"/>
      <c r="H161" s="718" t="s"/>
      <c r="I161" s="718" t="s"/>
      <c r="J161" s="718" t="s"/>
      <c r="K161" s="718" t="s"/>
      <c r="L161" s="718" t="s"/>
    </row>
    <row r="162" spans="1:12">
      <c r="A162" s="719" t="s">
        <v>1579</v>
      </c>
      <c r="B162" s="720" t="s">
        <v>1901</v>
      </c>
      <c r="C162" s="721" t="s">
        <v>1902</v>
      </c>
      <c r="D162" s="720" t="s">
        <v>894</v>
      </c>
      <c r="E162" s="718" t="s"/>
      <c r="F162" s="718" t="s"/>
      <c r="G162" s="718" t="s"/>
      <c r="H162" s="718" t="s"/>
      <c r="I162" s="718" t="s"/>
      <c r="J162" s="718" t="s"/>
      <c r="K162" s="718" t="s"/>
      <c r="L162" s="718" t="s"/>
    </row>
    <row r="163" spans="1:12">
      <c r="A163" s="719" t="s">
        <v>1579</v>
      </c>
      <c r="B163" s="720" t="s">
        <v>1903</v>
      </c>
      <c r="C163" s="721" t="s">
        <v>1904</v>
      </c>
      <c r="D163" s="720" t="s">
        <v>894</v>
      </c>
      <c r="E163" s="718" t="s"/>
      <c r="F163" s="718" t="s"/>
      <c r="G163" s="718" t="s"/>
      <c r="H163" s="718" t="s"/>
      <c r="I163" s="718" t="s"/>
      <c r="J163" s="718" t="s"/>
      <c r="K163" s="718" t="s"/>
      <c r="L163" s="718" t="s"/>
    </row>
    <row r="164" spans="1:12">
      <c r="A164" s="719" t="s">
        <v>1579</v>
      </c>
      <c r="B164" s="720" t="s">
        <v>1905</v>
      </c>
      <c r="C164" s="721" t="s">
        <v>1906</v>
      </c>
      <c r="D164" s="720" t="s">
        <v>1582</v>
      </c>
      <c r="E164" s="718" t="s"/>
      <c r="F164" s="718" t="s"/>
      <c r="G164" s="718" t="s"/>
      <c r="H164" s="718" t="s"/>
      <c r="I164" s="718" t="s"/>
      <c r="J164" s="718" t="s"/>
      <c r="K164" s="718" t="s"/>
      <c r="L164" s="718" t="s"/>
    </row>
    <row r="165" spans="1:12">
      <c r="A165" s="719" t="s">
        <v>1579</v>
      </c>
      <c r="B165" s="720" t="s">
        <v>1907</v>
      </c>
      <c r="C165" s="721" t="s">
        <v>1908</v>
      </c>
      <c r="D165" s="720" t="s">
        <v>1582</v>
      </c>
      <c r="E165" s="718" t="s"/>
      <c r="F165" s="718" t="s"/>
      <c r="G165" s="718" t="s"/>
      <c r="H165" s="718" t="s"/>
      <c r="I165" s="718" t="s"/>
      <c r="J165" s="718" t="s"/>
      <c r="K165" s="718" t="s"/>
      <c r="L165" s="718" t="s"/>
    </row>
    <row r="166" spans="1:12">
      <c r="A166" s="719" t="s">
        <v>1579</v>
      </c>
      <c r="B166" s="720" t="s">
        <v>1909</v>
      </c>
      <c r="C166" s="721" t="s">
        <v>1910</v>
      </c>
      <c r="D166" s="720" t="s">
        <v>1582</v>
      </c>
      <c r="E166" s="718" t="s"/>
      <c r="F166" s="718" t="s"/>
      <c r="G166" s="718" t="s"/>
      <c r="H166" s="718" t="s"/>
      <c r="I166" s="718" t="s"/>
      <c r="J166" s="718" t="s"/>
      <c r="K166" s="718" t="s"/>
      <c r="L166" s="718" t="s"/>
    </row>
    <row r="167" spans="1:12">
      <c r="A167" s="719" t="s">
        <v>1579</v>
      </c>
      <c r="B167" s="720" t="s">
        <v>1911</v>
      </c>
      <c r="C167" s="721" t="s">
        <v>1912</v>
      </c>
      <c r="D167" s="720" t="s">
        <v>1582</v>
      </c>
      <c r="E167" s="718" t="s"/>
      <c r="F167" s="718" t="s"/>
      <c r="G167" s="718" t="s"/>
      <c r="H167" s="718" t="s"/>
      <c r="I167" s="718" t="s"/>
      <c r="J167" s="718" t="s"/>
      <c r="K167" s="718" t="s"/>
      <c r="L167" s="718" t="s"/>
    </row>
    <row r="168" spans="1:12">
      <c r="A168" s="719" t="s">
        <v>1579</v>
      </c>
      <c r="B168" s="720" t="s">
        <v>1913</v>
      </c>
      <c r="C168" s="721" t="s">
        <v>1914</v>
      </c>
      <c r="D168" s="720" t="s">
        <v>1582</v>
      </c>
      <c r="E168" s="718" t="s"/>
      <c r="F168" s="718" t="s"/>
      <c r="G168" s="718" t="s"/>
      <c r="H168" s="718" t="s"/>
      <c r="I168" s="718" t="s"/>
      <c r="J168" s="718" t="s"/>
      <c r="K168" s="718" t="s"/>
      <c r="L168" s="718" t="s"/>
    </row>
    <row r="169" spans="1:12">
      <c r="A169" s="719" t="s">
        <v>1579</v>
      </c>
      <c r="B169" s="720" t="s">
        <v>1915</v>
      </c>
      <c r="C169" s="721" t="s">
        <v>1916</v>
      </c>
      <c r="D169" s="720" t="s">
        <v>1582</v>
      </c>
      <c r="E169" s="718" t="s"/>
      <c r="F169" s="718" t="s"/>
      <c r="G169" s="718" t="s"/>
      <c r="H169" s="718" t="s"/>
      <c r="I169" s="718" t="s"/>
      <c r="J169" s="718" t="s"/>
      <c r="K169" s="718" t="s"/>
      <c r="L169" s="718" t="s"/>
    </row>
    <row r="170" spans="1:12">
      <c r="A170" s="719" t="s">
        <v>1579</v>
      </c>
      <c r="B170" s="720" t="s">
        <v>899</v>
      </c>
      <c r="C170" s="721" t="s">
        <v>1917</v>
      </c>
      <c r="D170" s="720" t="s">
        <v>1582</v>
      </c>
      <c r="E170" s="718" t="s"/>
      <c r="F170" s="718" t="s"/>
      <c r="G170" s="718" t="s"/>
      <c r="H170" s="718" t="s"/>
      <c r="I170" s="718" t="s"/>
      <c r="J170" s="718" t="s"/>
      <c r="K170" s="718" t="s"/>
      <c r="L170" s="718" t="s"/>
    </row>
    <row r="171" spans="1:12">
      <c r="A171" s="719" t="s">
        <v>1579</v>
      </c>
      <c r="B171" s="720" t="s">
        <v>1065</v>
      </c>
      <c r="C171" s="721" t="s">
        <v>1918</v>
      </c>
      <c r="D171" s="720" t="s">
        <v>1582</v>
      </c>
      <c r="E171" s="718" t="s"/>
      <c r="F171" s="718" t="s"/>
      <c r="G171" s="718" t="s"/>
      <c r="H171" s="718" t="s"/>
      <c r="I171" s="718" t="s"/>
      <c r="J171" s="718" t="s"/>
      <c r="K171" s="718" t="s"/>
      <c r="L171" s="718" t="s"/>
    </row>
    <row r="172" spans="1:12">
      <c r="A172" s="719" t="s">
        <v>1579</v>
      </c>
      <c r="B172" s="720" t="s">
        <v>1919</v>
      </c>
      <c r="C172" s="721" t="s">
        <v>1920</v>
      </c>
      <c r="D172" s="720" t="s">
        <v>1582</v>
      </c>
      <c r="E172" s="718" t="s"/>
      <c r="F172" s="718" t="s"/>
      <c r="G172" s="718" t="s"/>
      <c r="H172" s="718" t="s"/>
      <c r="I172" s="718" t="s"/>
      <c r="J172" s="718" t="s"/>
      <c r="K172" s="718" t="s"/>
      <c r="L172" s="718" t="s"/>
    </row>
    <row r="173" spans="1:12">
      <c r="A173" s="719" t="s">
        <v>1579</v>
      </c>
      <c r="B173" s="720" t="s">
        <v>1921</v>
      </c>
      <c r="C173" s="721" t="s">
        <v>1922</v>
      </c>
      <c r="D173" s="720" t="s">
        <v>1582</v>
      </c>
      <c r="E173" s="718" t="s"/>
      <c r="F173" s="718" t="s"/>
      <c r="G173" s="718" t="s"/>
      <c r="H173" s="718" t="s"/>
      <c r="I173" s="718" t="s"/>
      <c r="J173" s="718" t="s"/>
      <c r="K173" s="718" t="s"/>
      <c r="L173" s="718" t="s"/>
    </row>
    <row r="174" spans="1:12">
      <c r="A174" s="719" t="s">
        <v>1579</v>
      </c>
      <c r="B174" s="720" t="s">
        <v>1923</v>
      </c>
      <c r="C174" s="721" t="s">
        <v>1924</v>
      </c>
      <c r="D174" s="720" t="s">
        <v>1582</v>
      </c>
      <c r="E174" s="718" t="s"/>
      <c r="F174" s="718" t="s"/>
      <c r="G174" s="718" t="s"/>
      <c r="H174" s="718" t="s"/>
      <c r="I174" s="718" t="s"/>
      <c r="J174" s="718" t="s"/>
      <c r="K174" s="718" t="s"/>
      <c r="L174" s="718" t="s"/>
    </row>
    <row r="175" spans="1:12">
      <c r="A175" s="719" t="s">
        <v>1579</v>
      </c>
      <c r="B175" s="720" t="s">
        <v>1925</v>
      </c>
      <c r="C175" s="721" t="s">
        <v>1926</v>
      </c>
      <c r="D175" s="720" t="s">
        <v>1582</v>
      </c>
      <c r="E175" s="718" t="s"/>
      <c r="F175" s="718" t="s"/>
      <c r="G175" s="718" t="s"/>
      <c r="H175" s="718" t="s"/>
      <c r="I175" s="718" t="s"/>
      <c r="J175" s="718" t="s"/>
      <c r="K175" s="718" t="s"/>
      <c r="L175" s="718" t="s"/>
    </row>
    <row r="176" spans="1:12">
      <c r="A176" s="719" t="s">
        <v>1579</v>
      </c>
      <c r="B176" s="720" t="s">
        <v>1927</v>
      </c>
      <c r="C176" s="721" t="s">
        <v>1928</v>
      </c>
      <c r="D176" s="720" t="s">
        <v>1582</v>
      </c>
      <c r="E176" s="718" t="s"/>
      <c r="F176" s="718" t="s"/>
      <c r="G176" s="718" t="s"/>
      <c r="H176" s="718" t="s"/>
      <c r="I176" s="718" t="s"/>
      <c r="J176" s="718" t="s"/>
      <c r="K176" s="718" t="s"/>
      <c r="L176" s="718" t="s"/>
    </row>
    <row r="177" spans="1:12">
      <c r="A177" s="719" t="s">
        <v>1579</v>
      </c>
      <c r="B177" s="720" t="s">
        <v>1929</v>
      </c>
      <c r="C177" s="721" t="s">
        <v>1930</v>
      </c>
      <c r="D177" s="720" t="s">
        <v>1582</v>
      </c>
      <c r="E177" s="718" t="s"/>
      <c r="F177" s="718" t="s"/>
      <c r="G177" s="718" t="s"/>
      <c r="H177" s="718" t="s"/>
      <c r="I177" s="718" t="s"/>
      <c r="J177" s="718" t="s"/>
      <c r="K177" s="718" t="s"/>
      <c r="L177" s="718" t="s"/>
    </row>
    <row r="178" spans="1:12">
      <c r="A178" s="719" t="s">
        <v>1579</v>
      </c>
      <c r="B178" s="720" t="s">
        <v>1931</v>
      </c>
      <c r="C178" s="721" t="s">
        <v>1932</v>
      </c>
      <c r="D178" s="720" t="s">
        <v>1582</v>
      </c>
      <c r="E178" s="718" t="s"/>
      <c r="F178" s="718" t="s"/>
      <c r="G178" s="718" t="s"/>
      <c r="H178" s="718" t="s"/>
      <c r="I178" s="718" t="s"/>
      <c r="J178" s="718" t="s"/>
      <c r="K178" s="718" t="s"/>
      <c r="L178" s="718" t="s"/>
    </row>
    <row r="179" spans="1:12">
      <c r="A179" s="719" t="s">
        <v>1579</v>
      </c>
      <c r="B179" s="720" t="s">
        <v>1933</v>
      </c>
      <c r="C179" s="721" t="s">
        <v>1934</v>
      </c>
      <c r="D179" s="720" t="s">
        <v>1582</v>
      </c>
      <c r="E179" s="718" t="s"/>
      <c r="F179" s="718" t="s"/>
      <c r="G179" s="718" t="s"/>
      <c r="H179" s="718" t="s"/>
      <c r="I179" s="718" t="s"/>
      <c r="J179" s="718" t="s"/>
      <c r="K179" s="718" t="s"/>
      <c r="L179" s="718" t="s"/>
    </row>
    <row r="180" spans="1:12">
      <c r="A180" s="719" t="s">
        <v>1579</v>
      </c>
      <c r="B180" s="720" t="s">
        <v>1935</v>
      </c>
      <c r="C180" s="721" t="s">
        <v>1936</v>
      </c>
      <c r="D180" s="720" t="s">
        <v>1582</v>
      </c>
      <c r="E180" s="718" t="s"/>
      <c r="F180" s="718" t="s"/>
      <c r="G180" s="718" t="s"/>
      <c r="H180" s="718" t="s"/>
      <c r="I180" s="718" t="s"/>
      <c r="J180" s="718" t="s"/>
      <c r="K180" s="718" t="s"/>
      <c r="L180" s="718" t="s"/>
    </row>
    <row r="181" spans="1:12">
      <c r="A181" s="719" t="s">
        <v>1579</v>
      </c>
      <c r="B181" s="720" t="s">
        <v>1937</v>
      </c>
      <c r="C181" s="721" t="s">
        <v>1938</v>
      </c>
      <c r="D181" s="720" t="s">
        <v>1582</v>
      </c>
      <c r="E181" s="718" t="s"/>
      <c r="F181" s="718" t="s"/>
      <c r="G181" s="718" t="s"/>
      <c r="H181" s="718" t="s"/>
      <c r="I181" s="718" t="s"/>
      <c r="J181" s="718" t="s"/>
      <c r="K181" s="718" t="s"/>
      <c r="L181" s="718" t="s"/>
    </row>
    <row r="182" spans="1:12">
      <c r="A182" s="719" t="s">
        <v>1579</v>
      </c>
      <c r="B182" s="720" t="s">
        <v>1939</v>
      </c>
      <c r="C182" s="721" t="s">
        <v>1940</v>
      </c>
      <c r="D182" s="720" t="s">
        <v>1582</v>
      </c>
      <c r="E182" s="718" t="s"/>
      <c r="F182" s="718" t="s"/>
      <c r="G182" s="718" t="s"/>
      <c r="H182" s="718" t="s"/>
      <c r="I182" s="718" t="s"/>
      <c r="J182" s="718" t="s"/>
      <c r="K182" s="718" t="s"/>
      <c r="L182" s="718" t="s"/>
    </row>
    <row r="183" spans="1:12">
      <c r="A183" s="719" t="s">
        <v>1579</v>
      </c>
      <c r="B183" s="720" t="s">
        <v>1941</v>
      </c>
      <c r="C183" s="721" t="s">
        <v>1942</v>
      </c>
      <c r="D183" s="720" t="s">
        <v>1582</v>
      </c>
      <c r="E183" s="718" t="s"/>
      <c r="F183" s="718" t="s"/>
      <c r="G183" s="718" t="s"/>
      <c r="H183" s="718" t="s"/>
      <c r="I183" s="718" t="s"/>
      <c r="J183" s="718" t="s"/>
      <c r="K183" s="718" t="s"/>
      <c r="L183" s="718" t="s"/>
    </row>
    <row r="184" spans="1:12">
      <c r="A184" s="719" t="s">
        <v>1579</v>
      </c>
      <c r="B184" s="720" t="s">
        <v>1943</v>
      </c>
      <c r="C184" s="721" t="s">
        <v>1944</v>
      </c>
      <c r="D184" s="720" t="s">
        <v>1582</v>
      </c>
      <c r="E184" s="718" t="s"/>
      <c r="F184" s="718" t="s"/>
      <c r="G184" s="718" t="s"/>
      <c r="H184" s="718" t="s"/>
      <c r="I184" s="718" t="s"/>
      <c r="J184" s="718" t="s"/>
      <c r="K184" s="718" t="s"/>
      <c r="L184" s="718" t="s"/>
    </row>
    <row r="185" spans="1:12">
      <c r="A185" s="719" t="s">
        <v>1579</v>
      </c>
      <c r="B185" s="720" t="s">
        <v>1945</v>
      </c>
      <c r="C185" s="721" t="s">
        <v>1946</v>
      </c>
      <c r="D185" s="720" t="s">
        <v>1582</v>
      </c>
      <c r="E185" s="718" t="s"/>
      <c r="F185" s="718" t="s"/>
      <c r="G185" s="718" t="s"/>
      <c r="H185" s="718" t="s"/>
      <c r="I185" s="718" t="s"/>
      <c r="J185" s="718" t="s"/>
      <c r="K185" s="718" t="s"/>
      <c r="L185" s="718" t="s"/>
    </row>
    <row r="186" spans="1:12">
      <c r="A186" s="719" t="s">
        <v>1579</v>
      </c>
      <c r="B186" s="720" t="s">
        <v>1947</v>
      </c>
      <c r="C186" s="721" t="s">
        <v>1948</v>
      </c>
      <c r="D186" s="720" t="s">
        <v>1582</v>
      </c>
      <c r="E186" s="718" t="s"/>
      <c r="F186" s="718" t="s"/>
      <c r="G186" s="718" t="s"/>
      <c r="H186" s="718" t="s"/>
      <c r="I186" s="718" t="s"/>
      <c r="J186" s="718" t="s"/>
      <c r="K186" s="718" t="s"/>
      <c r="L186" s="718" t="s"/>
    </row>
    <row r="187" spans="1:12">
      <c r="A187" s="719" t="s">
        <v>1579</v>
      </c>
      <c r="B187" s="720" t="s">
        <v>1949</v>
      </c>
      <c r="C187" s="721" t="s">
        <v>1950</v>
      </c>
      <c r="D187" s="720" t="s">
        <v>1582</v>
      </c>
      <c r="E187" s="718" t="s"/>
      <c r="F187" s="718" t="s"/>
      <c r="G187" s="718" t="s"/>
      <c r="H187" s="718" t="s"/>
      <c r="I187" s="718" t="s"/>
      <c r="J187" s="718" t="s"/>
      <c r="K187" s="718" t="s"/>
      <c r="L187" s="718" t="s"/>
    </row>
    <row r="188" spans="1:12">
      <c r="A188" s="719" t="s">
        <v>1579</v>
      </c>
      <c r="B188" s="720" t="s">
        <v>1951</v>
      </c>
      <c r="C188" s="721" t="s">
        <v>1952</v>
      </c>
      <c r="D188" s="720" t="s">
        <v>1582</v>
      </c>
      <c r="E188" s="718" t="s"/>
      <c r="F188" s="718" t="s"/>
      <c r="G188" s="718" t="s"/>
      <c r="H188" s="718" t="s"/>
      <c r="I188" s="718" t="s"/>
      <c r="J188" s="718" t="s"/>
      <c r="K188" s="718" t="s"/>
      <c r="L188" s="718" t="s"/>
    </row>
    <row r="189" spans="1:12">
      <c r="A189" s="719" t="s">
        <v>1579</v>
      </c>
      <c r="B189" s="720" t="s">
        <v>1147</v>
      </c>
      <c r="C189" s="721" t="s">
        <v>1953</v>
      </c>
      <c r="D189" s="720" t="s">
        <v>1582</v>
      </c>
      <c r="E189" s="718" t="s"/>
      <c r="F189" s="718" t="s"/>
      <c r="G189" s="718" t="s"/>
      <c r="H189" s="718" t="s"/>
      <c r="I189" s="718" t="s"/>
      <c r="J189" s="718" t="s"/>
      <c r="K189" s="718" t="s"/>
      <c r="L189" s="718" t="s"/>
    </row>
    <row r="190" spans="1:12">
      <c r="A190" s="719" t="s">
        <v>1579</v>
      </c>
      <c r="B190" s="720" t="s">
        <v>1954</v>
      </c>
      <c r="C190" s="721" t="s">
        <v>1955</v>
      </c>
      <c r="D190" s="720" t="s">
        <v>1582</v>
      </c>
      <c r="E190" s="718" t="s"/>
      <c r="F190" s="718" t="s"/>
      <c r="G190" s="718" t="s"/>
      <c r="H190" s="718" t="s"/>
      <c r="I190" s="718" t="s"/>
      <c r="J190" s="718" t="s"/>
      <c r="K190" s="718" t="s"/>
      <c r="L190" s="718" t="s"/>
    </row>
    <row r="191" spans="1:12">
      <c r="A191" s="719" t="s">
        <v>1579</v>
      </c>
      <c r="B191" s="720" t="s">
        <v>1956</v>
      </c>
      <c r="C191" s="721" t="s">
        <v>1957</v>
      </c>
      <c r="D191" s="720" t="s">
        <v>1582</v>
      </c>
      <c r="E191" s="718" t="s"/>
      <c r="F191" s="718" t="s"/>
      <c r="G191" s="718" t="s"/>
      <c r="H191" s="718" t="s"/>
      <c r="I191" s="718" t="s"/>
      <c r="J191" s="718" t="s"/>
      <c r="K191" s="718" t="s"/>
      <c r="L191" s="718" t="s"/>
    </row>
    <row r="192" spans="1:12">
      <c r="A192" s="719" t="s">
        <v>1579</v>
      </c>
      <c r="B192" s="720" t="s">
        <v>1958</v>
      </c>
      <c r="C192" s="721" t="s">
        <v>1959</v>
      </c>
      <c r="D192" s="720" t="s">
        <v>1582</v>
      </c>
      <c r="E192" s="718" t="s"/>
      <c r="F192" s="718" t="s"/>
      <c r="G192" s="718" t="s"/>
      <c r="H192" s="718" t="s"/>
      <c r="I192" s="718" t="s"/>
      <c r="J192" s="718" t="s"/>
      <c r="K192" s="718" t="s"/>
      <c r="L192" s="718" t="s"/>
    </row>
    <row r="193" spans="1:12">
      <c r="A193" s="719" t="s">
        <v>1579</v>
      </c>
      <c r="B193" s="720" t="s">
        <v>1960</v>
      </c>
      <c r="C193" s="721" t="s">
        <v>1961</v>
      </c>
      <c r="D193" s="720" t="s">
        <v>1582</v>
      </c>
      <c r="E193" s="718" t="s"/>
      <c r="F193" s="718" t="s"/>
      <c r="G193" s="718" t="s"/>
      <c r="H193" s="718" t="s"/>
      <c r="I193" s="718" t="s"/>
      <c r="J193" s="718" t="s"/>
      <c r="K193" s="718" t="s"/>
      <c r="L193" s="718" t="s"/>
    </row>
    <row r="194" spans="1:12">
      <c r="A194" s="719" t="s">
        <v>1579</v>
      </c>
      <c r="B194" s="720" t="s">
        <v>1962</v>
      </c>
      <c r="C194" s="721" t="s">
        <v>1963</v>
      </c>
      <c r="D194" s="720" t="s">
        <v>1582</v>
      </c>
      <c r="E194" s="718" t="s"/>
      <c r="F194" s="718" t="s"/>
      <c r="G194" s="718" t="s"/>
      <c r="H194" s="718" t="s"/>
      <c r="I194" s="718" t="s"/>
      <c r="J194" s="718" t="s"/>
      <c r="K194" s="718" t="s"/>
      <c r="L194" s="718" t="s"/>
    </row>
    <row r="195" spans="1:12">
      <c r="A195" s="719" t="s">
        <v>1579</v>
      </c>
      <c r="B195" s="720" t="s">
        <v>1964</v>
      </c>
      <c r="C195" s="721" t="s">
        <v>1965</v>
      </c>
      <c r="D195" s="720" t="s">
        <v>1582</v>
      </c>
      <c r="E195" s="718" t="s"/>
      <c r="F195" s="718" t="s"/>
      <c r="G195" s="718" t="s"/>
      <c r="H195" s="718" t="s"/>
      <c r="I195" s="718" t="s"/>
      <c r="J195" s="718" t="s"/>
      <c r="K195" s="718" t="s"/>
      <c r="L195" s="718" t="s"/>
    </row>
    <row r="196" spans="1:12">
      <c r="A196" s="719" t="s">
        <v>1579</v>
      </c>
      <c r="B196" s="720" t="s">
        <v>1966</v>
      </c>
      <c r="C196" s="721" t="s">
        <v>1967</v>
      </c>
      <c r="D196" s="720" t="s">
        <v>1582</v>
      </c>
      <c r="E196" s="718" t="s"/>
      <c r="F196" s="718" t="s"/>
      <c r="G196" s="718" t="s"/>
      <c r="H196" s="718" t="s"/>
      <c r="I196" s="718" t="s"/>
      <c r="J196" s="718" t="s"/>
      <c r="K196" s="718" t="s"/>
      <c r="L196" s="718" t="s"/>
    </row>
    <row r="197" spans="1:12">
      <c r="A197" s="719" t="s">
        <v>1579</v>
      </c>
      <c r="B197" s="720" t="s">
        <v>1968</v>
      </c>
      <c r="C197" s="721" t="s">
        <v>1969</v>
      </c>
      <c r="D197" s="720" t="s">
        <v>1582</v>
      </c>
      <c r="E197" s="718" t="s"/>
      <c r="F197" s="718" t="s"/>
      <c r="G197" s="718" t="s"/>
      <c r="H197" s="718" t="s"/>
      <c r="I197" s="718" t="s"/>
      <c r="J197" s="718" t="s"/>
      <c r="K197" s="718" t="s"/>
      <c r="L197" s="718" t="s"/>
    </row>
    <row r="198" spans="1:12">
      <c r="A198" s="719" t="s">
        <v>1579</v>
      </c>
      <c r="B198" s="720" t="s">
        <v>1970</v>
      </c>
      <c r="C198" s="721" t="s">
        <v>1971</v>
      </c>
      <c r="D198" s="720" t="s">
        <v>1582</v>
      </c>
      <c r="E198" s="718" t="s"/>
      <c r="F198" s="718" t="s"/>
      <c r="G198" s="718" t="s"/>
      <c r="H198" s="718" t="s"/>
      <c r="I198" s="718" t="s"/>
      <c r="J198" s="718" t="s"/>
      <c r="K198" s="718" t="s"/>
      <c r="L198" s="718" t="s"/>
    </row>
    <row r="199" spans="1:12">
      <c r="A199" s="719" t="s">
        <v>1579</v>
      </c>
      <c r="B199" s="720" t="s">
        <v>1972</v>
      </c>
      <c r="C199" s="721" t="s">
        <v>1973</v>
      </c>
      <c r="D199" s="720" t="s">
        <v>1582</v>
      </c>
      <c r="E199" s="718" t="s"/>
      <c r="F199" s="718" t="s"/>
      <c r="G199" s="718" t="s"/>
      <c r="H199" s="718" t="s"/>
      <c r="I199" s="718" t="s"/>
      <c r="J199" s="718" t="s"/>
      <c r="K199" s="718" t="s"/>
      <c r="L199" s="718" t="s"/>
    </row>
    <row r="200" spans="1:12">
      <c r="A200" s="719" t="s">
        <v>1579</v>
      </c>
      <c r="B200" s="720" t="s">
        <v>1974</v>
      </c>
      <c r="C200" s="721" t="s">
        <v>1975</v>
      </c>
      <c r="D200" s="720" t="s">
        <v>1582</v>
      </c>
      <c r="E200" s="718" t="s"/>
      <c r="F200" s="718" t="s"/>
      <c r="G200" s="718" t="s"/>
      <c r="H200" s="718" t="s"/>
      <c r="I200" s="718" t="s"/>
      <c r="J200" s="718" t="s"/>
      <c r="K200" s="718" t="s"/>
      <c r="L200" s="718" t="s"/>
    </row>
    <row r="201" spans="1:12">
      <c r="A201" s="719" t="s">
        <v>1579</v>
      </c>
      <c r="B201" s="720" t="s">
        <v>1976</v>
      </c>
      <c r="C201" s="721" t="s">
        <v>1977</v>
      </c>
      <c r="D201" s="720" t="s">
        <v>1582</v>
      </c>
      <c r="E201" s="718" t="s"/>
      <c r="F201" s="718" t="s"/>
      <c r="G201" s="718" t="s"/>
      <c r="H201" s="718" t="s"/>
      <c r="I201" s="718" t="s"/>
      <c r="J201" s="718" t="s"/>
      <c r="K201" s="718" t="s"/>
      <c r="L201" s="718" t="s"/>
    </row>
    <row r="202" spans="1:12">
      <c r="A202" s="719" t="s">
        <v>1579</v>
      </c>
      <c r="B202" s="720" t="s">
        <v>1978</v>
      </c>
      <c r="C202" s="721" t="s">
        <v>1979</v>
      </c>
      <c r="D202" s="720" t="s">
        <v>1582</v>
      </c>
      <c r="E202" s="718" t="s"/>
      <c r="F202" s="718" t="s"/>
      <c r="G202" s="718" t="s"/>
      <c r="H202" s="718" t="s"/>
      <c r="I202" s="718" t="s"/>
      <c r="J202" s="718" t="s"/>
      <c r="K202" s="718" t="s"/>
      <c r="L202" s="718" t="s"/>
    </row>
    <row r="203" spans="1:12">
      <c r="A203" s="719" t="s">
        <v>1579</v>
      </c>
      <c r="B203" s="720" t="s">
        <v>1980</v>
      </c>
      <c r="C203" s="721" t="s">
        <v>1981</v>
      </c>
      <c r="D203" s="720" t="s">
        <v>1582</v>
      </c>
      <c r="E203" s="718" t="s"/>
      <c r="F203" s="718" t="s"/>
      <c r="G203" s="718" t="s"/>
      <c r="H203" s="718" t="s"/>
      <c r="I203" s="718" t="s"/>
      <c r="J203" s="718" t="s"/>
      <c r="K203" s="718" t="s"/>
      <c r="L203" s="718" t="s"/>
    </row>
    <row r="204" spans="1:12">
      <c r="A204" s="719" t="s">
        <v>1579</v>
      </c>
      <c r="B204" s="720" t="s">
        <v>1982</v>
      </c>
      <c r="C204" s="721" t="s">
        <v>1983</v>
      </c>
      <c r="D204" s="720" t="s">
        <v>1582</v>
      </c>
      <c r="E204" s="718" t="s"/>
      <c r="F204" s="718" t="s"/>
      <c r="G204" s="718" t="s"/>
      <c r="H204" s="718" t="s"/>
      <c r="I204" s="718" t="s"/>
      <c r="J204" s="718" t="s"/>
      <c r="K204" s="718" t="s"/>
      <c r="L204" s="718" t="s"/>
    </row>
    <row r="205" spans="1:12">
      <c r="A205" s="719" t="s">
        <v>1579</v>
      </c>
      <c r="B205" s="720" t="s">
        <v>1984</v>
      </c>
      <c r="C205" s="721" t="s">
        <v>1985</v>
      </c>
      <c r="D205" s="720" t="s">
        <v>1582</v>
      </c>
      <c r="E205" s="718" t="s"/>
      <c r="F205" s="718" t="s"/>
      <c r="G205" s="718" t="s"/>
      <c r="H205" s="718" t="s"/>
      <c r="I205" s="718" t="s"/>
      <c r="J205" s="718" t="s"/>
      <c r="K205" s="718" t="s"/>
      <c r="L205" s="718" t="s"/>
    </row>
    <row r="206" spans="1:12">
      <c r="A206" s="719" t="s">
        <v>1579</v>
      </c>
      <c r="B206" s="720" t="s">
        <v>1986</v>
      </c>
      <c r="C206" s="721" t="s">
        <v>1987</v>
      </c>
      <c r="D206" s="720" t="s">
        <v>1582</v>
      </c>
      <c r="E206" s="718" t="s"/>
      <c r="F206" s="718" t="s"/>
      <c r="G206" s="718" t="s"/>
      <c r="H206" s="718" t="s"/>
      <c r="I206" s="718" t="s"/>
      <c r="J206" s="718" t="s"/>
      <c r="K206" s="718" t="s"/>
      <c r="L206" s="718" t="s"/>
    </row>
    <row r="207" spans="1:12">
      <c r="A207" s="719" t="s">
        <v>1579</v>
      </c>
      <c r="B207" s="720" t="s">
        <v>1988</v>
      </c>
      <c r="C207" s="721" t="s">
        <v>1989</v>
      </c>
      <c r="D207" s="720" t="s">
        <v>1582</v>
      </c>
      <c r="E207" s="718" t="s"/>
      <c r="F207" s="718" t="s"/>
      <c r="G207" s="718" t="s"/>
      <c r="H207" s="718" t="s"/>
      <c r="I207" s="718" t="s"/>
      <c r="J207" s="718" t="s"/>
      <c r="K207" s="718" t="s"/>
      <c r="L207" s="718" t="s"/>
    </row>
    <row r="208" spans="1:12">
      <c r="A208" s="719" t="s">
        <v>1579</v>
      </c>
      <c r="B208" s="720" t="s">
        <v>1990</v>
      </c>
      <c r="C208" s="721" t="s">
        <v>1991</v>
      </c>
      <c r="D208" s="720" t="s">
        <v>1582</v>
      </c>
      <c r="E208" s="718" t="s"/>
      <c r="F208" s="718" t="s"/>
      <c r="G208" s="718" t="s"/>
      <c r="H208" s="718" t="s"/>
      <c r="I208" s="718" t="s"/>
      <c r="J208" s="718" t="s"/>
      <c r="K208" s="718" t="s"/>
      <c r="L208" s="718" t="s"/>
    </row>
    <row r="209" spans="1:12">
      <c r="A209" s="719" t="s">
        <v>1579</v>
      </c>
      <c r="B209" s="720" t="s">
        <v>1992</v>
      </c>
      <c r="C209" s="721" t="s">
        <v>1993</v>
      </c>
      <c r="D209" s="720" t="s">
        <v>1582</v>
      </c>
      <c r="E209" s="718" t="s"/>
      <c r="F209" s="718" t="s"/>
      <c r="G209" s="718" t="s"/>
      <c r="H209" s="718" t="s"/>
      <c r="I209" s="718" t="s"/>
      <c r="J209" s="718" t="s"/>
      <c r="K209" s="718" t="s"/>
      <c r="L209" s="718" t="s"/>
    </row>
    <row r="210" spans="1:12">
      <c r="A210" s="719" t="s">
        <v>1579</v>
      </c>
      <c r="B210" s="720" t="s">
        <v>1994</v>
      </c>
      <c r="C210" s="721" t="s">
        <v>1995</v>
      </c>
      <c r="D210" s="720" t="s">
        <v>1582</v>
      </c>
      <c r="E210" s="718" t="s"/>
      <c r="F210" s="718" t="s"/>
      <c r="G210" s="718" t="s"/>
      <c r="H210" s="718" t="s"/>
      <c r="I210" s="718" t="s"/>
      <c r="J210" s="718" t="s"/>
      <c r="K210" s="718" t="s"/>
      <c r="L210" s="718" t="s"/>
    </row>
    <row r="211" spans="1:12">
      <c r="A211" s="719" t="s">
        <v>1579</v>
      </c>
      <c r="B211" s="720" t="s">
        <v>1996</v>
      </c>
      <c r="C211" s="721" t="s">
        <v>1997</v>
      </c>
      <c r="D211" s="720" t="s">
        <v>1582</v>
      </c>
      <c r="E211" s="718" t="s"/>
      <c r="F211" s="727" t="s"/>
      <c r="G211" s="728" t="s"/>
      <c r="H211" s="728" t="s"/>
      <c r="I211" s="727" t="s"/>
      <c r="J211" s="718" t="s"/>
      <c r="K211" s="718" t="s"/>
      <c r="L211" s="718" t="s"/>
    </row>
    <row r="212" spans="1:12">
      <c r="A212" s="719" t="s">
        <v>1579</v>
      </c>
      <c r="B212" s="720" t="s">
        <v>1998</v>
      </c>
      <c r="C212" s="721" t="s">
        <v>1999</v>
      </c>
      <c r="D212" s="720" t="s">
        <v>1582</v>
      </c>
      <c r="E212" s="718" t="s"/>
      <c r="F212" s="727" t="s"/>
      <c r="G212" s="728" t="s"/>
      <c r="H212" s="728" t="s"/>
      <c r="I212" s="727" t="s"/>
      <c r="J212" s="718" t="s"/>
      <c r="K212" s="718" t="s"/>
      <c r="L212" s="718" t="s"/>
    </row>
    <row r="213" spans="1:12">
      <c r="A213" s="719" t="s">
        <v>1579</v>
      </c>
      <c r="B213" s="720" t="s">
        <v>2000</v>
      </c>
      <c r="C213" s="721" t="s">
        <v>2001</v>
      </c>
      <c r="D213" s="720" t="s">
        <v>1582</v>
      </c>
      <c r="E213" s="718" t="s"/>
      <c r="F213" s="718" t="s"/>
      <c r="G213" s="718" t="s"/>
      <c r="H213" s="718" t="s"/>
      <c r="I213" s="718" t="s"/>
      <c r="J213" s="718" t="s"/>
      <c r="K213" s="718" t="s"/>
      <c r="L213" s="718" t="s"/>
    </row>
    <row r="214" spans="1:12">
      <c r="A214" s="719" t="s">
        <v>1579</v>
      </c>
      <c r="B214" s="720" t="s">
        <v>2002</v>
      </c>
      <c r="C214" s="721" t="s">
        <v>2003</v>
      </c>
      <c r="D214" s="720" t="s">
        <v>1582</v>
      </c>
      <c r="E214" s="718" t="s"/>
      <c r="F214" s="718" t="s"/>
      <c r="G214" s="718" t="s"/>
      <c r="H214" s="718" t="s"/>
      <c r="I214" s="718" t="s"/>
      <c r="J214" s="718" t="s"/>
      <c r="K214" s="718" t="s"/>
      <c r="L214" s="718" t="s"/>
    </row>
    <row r="215" spans="1:12">
      <c r="A215" s="719" t="s">
        <v>1579</v>
      </c>
      <c r="B215" s="720" t="s">
        <v>2004</v>
      </c>
      <c r="C215" s="721" t="s">
        <v>2005</v>
      </c>
      <c r="D215" s="720" t="s">
        <v>1582</v>
      </c>
      <c r="E215" s="718" t="s"/>
      <c r="F215" s="718" t="s"/>
      <c r="G215" s="718" t="s"/>
      <c r="H215" s="718" t="s"/>
      <c r="I215" s="718" t="s"/>
      <c r="J215" s="718" t="s"/>
      <c r="K215" s="718" t="s"/>
      <c r="L215" s="718" t="s"/>
    </row>
    <row r="216" spans="1:12">
      <c r="A216" s="719" t="s">
        <v>1579</v>
      </c>
      <c r="B216" s="720" t="s">
        <v>2006</v>
      </c>
      <c r="C216" s="721" t="s">
        <v>2007</v>
      </c>
      <c r="D216" s="720" t="s">
        <v>1582</v>
      </c>
      <c r="E216" s="718" t="s"/>
      <c r="F216" s="718" t="s"/>
      <c r="G216" s="718" t="s"/>
      <c r="H216" s="718" t="s"/>
      <c r="I216" s="718" t="s"/>
      <c r="J216" s="718" t="s"/>
      <c r="K216" s="718" t="s"/>
      <c r="L216" s="718" t="s"/>
    </row>
    <row r="217" spans="1:12">
      <c r="A217" s="719" t="s">
        <v>1579</v>
      </c>
      <c r="B217" s="720" t="s">
        <v>2008</v>
      </c>
      <c r="C217" s="721" t="s">
        <v>2009</v>
      </c>
      <c r="D217" s="720" t="s">
        <v>1582</v>
      </c>
      <c r="E217" s="718" t="s"/>
      <c r="F217" s="718" t="s"/>
      <c r="G217" s="718" t="s"/>
      <c r="H217" s="718" t="s"/>
      <c r="I217" s="718" t="s"/>
      <c r="J217" s="718" t="s"/>
      <c r="K217" s="718" t="s"/>
      <c r="L217" s="718" t="s"/>
    </row>
    <row r="218" spans="1:12">
      <c r="A218" s="719" t="s">
        <v>1579</v>
      </c>
      <c r="B218" s="720" t="s">
        <v>2010</v>
      </c>
      <c r="C218" s="721" t="s">
        <v>2011</v>
      </c>
      <c r="D218" s="720" t="s">
        <v>1582</v>
      </c>
      <c r="E218" s="718" t="s"/>
      <c r="F218" s="718" t="s"/>
      <c r="G218" s="718" t="s"/>
      <c r="H218" s="718" t="s"/>
      <c r="I218" s="718" t="s"/>
      <c r="J218" s="718" t="s"/>
      <c r="K218" s="718" t="s"/>
      <c r="L218" s="718" t="s"/>
    </row>
    <row r="219" spans="1:12">
      <c r="A219" s="719" t="s">
        <v>1579</v>
      </c>
      <c r="B219" s="720" t="s">
        <v>2012</v>
      </c>
      <c r="C219" s="721" t="s">
        <v>2013</v>
      </c>
      <c r="D219" s="720" t="s">
        <v>1582</v>
      </c>
      <c r="E219" s="718" t="s"/>
      <c r="F219" s="718" t="s"/>
      <c r="G219" s="718" t="s"/>
      <c r="H219" s="718" t="s"/>
      <c r="I219" s="718" t="s"/>
      <c r="J219" s="718" t="s"/>
      <c r="K219" s="718" t="s"/>
      <c r="L219" s="718" t="s"/>
    </row>
    <row r="220" spans="1:12">
      <c r="A220" s="719" t="s">
        <v>1579</v>
      </c>
      <c r="B220" s="720" t="s">
        <v>2014</v>
      </c>
      <c r="C220" s="721" t="s">
        <v>2015</v>
      </c>
      <c r="D220" s="720" t="s">
        <v>1582</v>
      </c>
      <c r="E220" s="718" t="s"/>
      <c r="F220" s="718" t="s"/>
      <c r="G220" s="718" t="s"/>
      <c r="H220" s="718" t="s"/>
      <c r="I220" s="718" t="s"/>
      <c r="J220" s="718" t="s"/>
      <c r="K220" s="718" t="s"/>
      <c r="L220" s="718" t="s"/>
    </row>
    <row r="221" spans="1:12">
      <c r="A221" s="719" t="s">
        <v>1579</v>
      </c>
      <c r="B221" s="720" t="s">
        <v>2016</v>
      </c>
      <c r="C221" s="721" t="s">
        <v>2017</v>
      </c>
      <c r="D221" s="720" t="s">
        <v>1582</v>
      </c>
      <c r="E221" s="718" t="s"/>
      <c r="F221" s="718" t="s"/>
      <c r="G221" s="718" t="s"/>
      <c r="H221" s="718" t="s"/>
      <c r="I221" s="718" t="s"/>
      <c r="J221" s="718" t="s"/>
      <c r="K221" s="718" t="s"/>
      <c r="L221" s="718" t="s"/>
    </row>
    <row r="222" spans="1:12">
      <c r="A222" s="719" t="s">
        <v>1579</v>
      </c>
      <c r="B222" s="720" t="s">
        <v>2018</v>
      </c>
      <c r="C222" s="721" t="s">
        <v>2019</v>
      </c>
      <c r="D222" s="720" t="s">
        <v>1582</v>
      </c>
      <c r="E222" s="718" t="s"/>
      <c r="F222" s="718" t="s"/>
      <c r="G222" s="718" t="s"/>
      <c r="H222" s="718" t="s"/>
      <c r="I222" s="718" t="s"/>
      <c r="J222" s="718" t="s"/>
      <c r="K222" s="718" t="s"/>
      <c r="L222" s="718" t="s"/>
    </row>
    <row r="223" spans="1:12">
      <c r="A223" s="719" t="s">
        <v>1579</v>
      </c>
      <c r="B223" s="720" t="s">
        <v>2020</v>
      </c>
      <c r="C223" s="721" t="s">
        <v>2021</v>
      </c>
      <c r="D223" s="720" t="s">
        <v>1582</v>
      </c>
      <c r="E223" s="718" t="s"/>
      <c r="F223" s="718" t="s"/>
      <c r="G223" s="718" t="s"/>
      <c r="H223" s="718" t="s"/>
      <c r="I223" s="718" t="s"/>
      <c r="J223" s="718" t="s"/>
      <c r="K223" s="718" t="s"/>
      <c r="L223" s="718" t="s"/>
    </row>
    <row r="224" spans="1:12">
      <c r="A224" s="719" t="s">
        <v>1579</v>
      </c>
      <c r="B224" s="720" t="s">
        <v>2022</v>
      </c>
      <c r="C224" s="721" t="s">
        <v>2023</v>
      </c>
      <c r="D224" s="720" t="s">
        <v>1582</v>
      </c>
      <c r="E224" s="718" t="s"/>
      <c r="F224" s="718" t="s"/>
      <c r="G224" s="718" t="s"/>
      <c r="H224" s="718" t="s"/>
      <c r="I224" s="718" t="s"/>
      <c r="J224" s="718" t="s"/>
      <c r="K224" s="718" t="s"/>
      <c r="L224" s="718" t="s"/>
    </row>
    <row r="225" spans="1:12">
      <c r="A225" s="719" t="s">
        <v>1579</v>
      </c>
      <c r="B225" s="720" t="s">
        <v>2024</v>
      </c>
      <c r="C225" s="721" t="s">
        <v>2025</v>
      </c>
      <c r="D225" s="720" t="s">
        <v>1582</v>
      </c>
      <c r="E225" s="718" t="s"/>
      <c r="F225" s="718" t="s"/>
      <c r="G225" s="718" t="s"/>
      <c r="H225" s="718" t="s"/>
      <c r="I225" s="718" t="s"/>
      <c r="J225" s="718" t="s"/>
      <c r="K225" s="718" t="s"/>
      <c r="L225" s="718" t="s"/>
    </row>
    <row r="226" spans="1:12">
      <c r="A226" s="719" t="s">
        <v>1579</v>
      </c>
      <c r="B226" s="720" t="s">
        <v>2026</v>
      </c>
      <c r="C226" s="721" t="s">
        <v>2027</v>
      </c>
      <c r="D226" s="720" t="s">
        <v>1582</v>
      </c>
      <c r="E226" s="718" t="s"/>
      <c r="F226" s="718" t="s"/>
      <c r="G226" s="718" t="s"/>
      <c r="H226" s="718" t="s"/>
      <c r="I226" s="718" t="s"/>
      <c r="J226" s="718" t="s"/>
      <c r="K226" s="718" t="s"/>
      <c r="L226" s="718" t="s"/>
    </row>
    <row r="227" spans="1:12">
      <c r="A227" s="719" t="s">
        <v>1579</v>
      </c>
      <c r="B227" s="720" t="s">
        <v>2028</v>
      </c>
      <c r="C227" s="721" t="s">
        <v>2029</v>
      </c>
      <c r="D227" s="720" t="s">
        <v>1582</v>
      </c>
      <c r="E227" s="718" t="s"/>
      <c r="F227" s="718" t="s"/>
      <c r="G227" s="718" t="s"/>
      <c r="H227" s="718" t="s"/>
      <c r="I227" s="718" t="s"/>
      <c r="J227" s="718" t="s"/>
      <c r="K227" s="718" t="s"/>
      <c r="L227" s="718" t="s"/>
    </row>
    <row r="228" spans="1:12">
      <c r="A228" s="719" t="s">
        <v>1579</v>
      </c>
      <c r="B228" s="720" t="s">
        <v>2030</v>
      </c>
      <c r="C228" s="721" t="s">
        <v>2031</v>
      </c>
      <c r="D228" s="720" t="s">
        <v>1582</v>
      </c>
      <c r="E228" s="718" t="s"/>
      <c r="F228" s="718" t="s"/>
      <c r="G228" s="718" t="s"/>
      <c r="H228" s="718" t="s"/>
      <c r="I228" s="718" t="s"/>
      <c r="J228" s="718" t="s"/>
      <c r="K228" s="718" t="s"/>
      <c r="L228" s="718" t="s"/>
    </row>
    <row r="229" spans="1:12">
      <c r="A229" s="719" t="s">
        <v>1579</v>
      </c>
      <c r="B229" s="720" t="s">
        <v>2032</v>
      </c>
      <c r="C229" s="721" t="s">
        <v>2033</v>
      </c>
      <c r="D229" s="720" t="s">
        <v>1582</v>
      </c>
      <c r="E229" s="718" t="s"/>
      <c r="F229" s="718" t="s"/>
      <c r="G229" s="718" t="s"/>
      <c r="H229" s="718" t="s"/>
      <c r="I229" s="718" t="s"/>
      <c r="J229" s="718" t="s"/>
      <c r="K229" s="718" t="s"/>
      <c r="L229" s="718" t="s"/>
    </row>
    <row r="230" spans="1:12">
      <c r="A230" s="719" t="s">
        <v>1579</v>
      </c>
      <c r="B230" s="720" t="s">
        <v>2034</v>
      </c>
      <c r="C230" s="721" t="s">
        <v>2035</v>
      </c>
      <c r="D230" s="720" t="s">
        <v>1582</v>
      </c>
      <c r="E230" s="718" t="s"/>
      <c r="F230" s="718" t="s"/>
      <c r="G230" s="718" t="s"/>
      <c r="H230" s="718" t="s"/>
      <c r="I230" s="718" t="s"/>
      <c r="J230" s="718" t="s"/>
      <c r="K230" s="718" t="s"/>
      <c r="L230" s="718" t="s"/>
    </row>
    <row r="231" spans="1:12">
      <c r="A231" s="719" t="s">
        <v>1579</v>
      </c>
      <c r="B231" s="720" t="s">
        <v>2036</v>
      </c>
      <c r="C231" s="721" t="s">
        <v>2037</v>
      </c>
      <c r="D231" s="720" t="s">
        <v>1582</v>
      </c>
      <c r="E231" s="718" t="s"/>
      <c r="F231" s="718" t="s"/>
      <c r="G231" s="718" t="s"/>
      <c r="H231" s="718" t="s"/>
      <c r="I231" s="718" t="s"/>
      <c r="J231" s="718" t="s"/>
      <c r="K231" s="718" t="s"/>
      <c r="L231" s="718" t="s"/>
    </row>
    <row r="232" spans="1:12">
      <c r="A232" s="719" t="s">
        <v>1579</v>
      </c>
      <c r="B232" s="720" t="s">
        <v>2038</v>
      </c>
      <c r="C232" s="721" t="s">
        <v>2039</v>
      </c>
      <c r="D232" s="720" t="s">
        <v>1582</v>
      </c>
      <c r="E232" s="718" t="s"/>
      <c r="F232" s="718" t="s"/>
      <c r="G232" s="718" t="s"/>
      <c r="H232" s="718" t="s"/>
      <c r="I232" s="718" t="s"/>
      <c r="J232" s="718" t="s"/>
      <c r="K232" s="718" t="s"/>
      <c r="L232" s="718" t="s"/>
    </row>
    <row r="233" spans="1:12">
      <c r="A233" s="719" t="s">
        <v>1579</v>
      </c>
      <c r="B233" s="720" t="s">
        <v>2040</v>
      </c>
      <c r="C233" s="721" t="s">
        <v>2041</v>
      </c>
      <c r="D233" s="720" t="s">
        <v>1582</v>
      </c>
      <c r="E233" s="718" t="s"/>
      <c r="F233" s="718" t="s"/>
      <c r="G233" s="718" t="s"/>
      <c r="H233" s="718" t="s"/>
      <c r="I233" s="718" t="s"/>
      <c r="J233" s="718" t="s"/>
      <c r="K233" s="718" t="s"/>
      <c r="L233" s="718" t="s"/>
    </row>
    <row r="234" spans="1:12">
      <c r="A234" s="719" t="s">
        <v>1579</v>
      </c>
      <c r="B234" s="720" t="s">
        <v>2042</v>
      </c>
      <c r="C234" s="721" t="s">
        <v>2043</v>
      </c>
      <c r="D234" s="720" t="s">
        <v>1582</v>
      </c>
      <c r="E234" s="718" t="s"/>
      <c r="F234" s="718" t="s"/>
      <c r="G234" s="718" t="s"/>
      <c r="H234" s="718" t="s"/>
      <c r="I234" s="718" t="s"/>
      <c r="J234" s="718" t="s"/>
      <c r="K234" s="718" t="s"/>
      <c r="L234" s="718" t="s"/>
    </row>
    <row r="235" spans="1:12">
      <c r="A235" s="719" t="s">
        <v>1579</v>
      </c>
      <c r="B235" s="720" t="s">
        <v>2044</v>
      </c>
      <c r="C235" s="721" t="s">
        <v>2045</v>
      </c>
      <c r="D235" s="720" t="s">
        <v>1582</v>
      </c>
      <c r="E235" s="718" t="s"/>
      <c r="F235" s="718" t="s"/>
      <c r="G235" s="718" t="s"/>
      <c r="H235" s="718" t="s"/>
      <c r="I235" s="718" t="s"/>
      <c r="J235" s="718" t="s"/>
      <c r="K235" s="718" t="s"/>
      <c r="L235" s="718" t="s"/>
    </row>
    <row r="236" spans="1:12">
      <c r="A236" s="719" t="s">
        <v>1579</v>
      </c>
      <c r="B236" s="720" t="s">
        <v>2046</v>
      </c>
      <c r="C236" s="721" t="s">
        <v>2047</v>
      </c>
      <c r="D236" s="720" t="s">
        <v>1582</v>
      </c>
      <c r="E236" s="718" t="s"/>
      <c r="F236" s="718" t="s"/>
      <c r="G236" s="718" t="s"/>
      <c r="H236" s="718" t="s"/>
      <c r="I236" s="718" t="s"/>
      <c r="J236" s="718" t="s"/>
      <c r="K236" s="718" t="s"/>
      <c r="L236" s="718" t="s"/>
    </row>
    <row r="237" spans="1:12">
      <c r="A237" s="719" t="s">
        <v>1579</v>
      </c>
      <c r="B237" s="720" t="s">
        <v>2048</v>
      </c>
      <c r="C237" s="721" t="s">
        <v>2049</v>
      </c>
      <c r="D237" s="720" t="s">
        <v>1582</v>
      </c>
      <c r="E237" s="718" t="s"/>
      <c r="F237" s="718" t="s"/>
      <c r="G237" s="718" t="s"/>
      <c r="H237" s="718" t="s"/>
      <c r="I237" s="718" t="s"/>
      <c r="J237" s="718" t="s"/>
      <c r="K237" s="718" t="s"/>
      <c r="L237" s="718" t="s"/>
    </row>
    <row r="238" spans="1:12">
      <c r="A238" s="719" t="s">
        <v>1579</v>
      </c>
      <c r="B238" s="720" t="s">
        <v>2050</v>
      </c>
      <c r="C238" s="721" t="s">
        <v>2051</v>
      </c>
      <c r="D238" s="720" t="s">
        <v>1582</v>
      </c>
      <c r="E238" s="718" t="s"/>
      <c r="F238" s="718" t="s"/>
      <c r="G238" s="718" t="s"/>
      <c r="H238" s="718" t="s"/>
      <c r="I238" s="718" t="s"/>
      <c r="J238" s="718" t="s"/>
      <c r="K238" s="718" t="s"/>
      <c r="L238" s="718" t="s"/>
    </row>
    <row r="239" spans="1:12">
      <c r="A239" s="719" t="s">
        <v>1579</v>
      </c>
      <c r="B239" s="720" t="s">
        <v>2052</v>
      </c>
      <c r="C239" s="721" t="s">
        <v>2053</v>
      </c>
      <c r="D239" s="720" t="s">
        <v>1582</v>
      </c>
      <c r="E239" s="718" t="s"/>
      <c r="F239" s="718" t="s"/>
      <c r="G239" s="718" t="s"/>
      <c r="H239" s="718" t="s"/>
      <c r="I239" s="718" t="s"/>
      <c r="J239" s="718" t="s"/>
      <c r="K239" s="718" t="s"/>
      <c r="L239" s="718" t="s"/>
    </row>
    <row r="240" spans="1:12">
      <c r="A240" s="719" t="s">
        <v>1579</v>
      </c>
      <c r="B240" s="720" t="s">
        <v>2054</v>
      </c>
      <c r="C240" s="721" t="s">
        <v>2055</v>
      </c>
      <c r="D240" s="720" t="s">
        <v>1582</v>
      </c>
      <c r="E240" s="718" t="s"/>
      <c r="F240" s="718" t="s"/>
      <c r="G240" s="718" t="s"/>
      <c r="H240" s="718" t="s"/>
      <c r="I240" s="718" t="s"/>
      <c r="J240" s="718" t="s"/>
      <c r="K240" s="718" t="s"/>
      <c r="L240" s="718" t="s"/>
    </row>
    <row r="241" spans="1:12">
      <c r="A241" s="719" t="s">
        <v>1579</v>
      </c>
      <c r="B241" s="720" t="s">
        <v>2056</v>
      </c>
      <c r="C241" s="721" t="s">
        <v>2057</v>
      </c>
      <c r="D241" s="720" t="s">
        <v>1582</v>
      </c>
      <c r="E241" s="718" t="s"/>
      <c r="F241" s="718" t="s"/>
      <c r="G241" s="718" t="s"/>
      <c r="H241" s="718" t="s"/>
      <c r="I241" s="718" t="s"/>
      <c r="J241" s="718" t="s"/>
      <c r="K241" s="718" t="s"/>
      <c r="L241" s="718" t="s"/>
    </row>
    <row r="242" spans="1:12">
      <c r="A242" s="719" t="s">
        <v>1579</v>
      </c>
      <c r="B242" s="720" t="s">
        <v>2058</v>
      </c>
      <c r="C242" s="721" t="s">
        <v>2059</v>
      </c>
      <c r="D242" s="720" t="s">
        <v>1582</v>
      </c>
      <c r="E242" s="718" t="s"/>
      <c r="F242" s="718" t="s"/>
      <c r="G242" s="718" t="s"/>
      <c r="H242" s="718" t="s"/>
      <c r="I242" s="718" t="s"/>
      <c r="J242" s="718" t="s"/>
      <c r="K242" s="718" t="s"/>
      <c r="L242" s="718" t="s"/>
    </row>
    <row r="243" spans="1:12">
      <c r="A243" s="719" t="s">
        <v>1579</v>
      </c>
      <c r="B243" s="720" t="s">
        <v>2060</v>
      </c>
      <c r="C243" s="721" t="s">
        <v>2061</v>
      </c>
      <c r="D243" s="720" t="s">
        <v>1582</v>
      </c>
      <c r="E243" s="718" t="s"/>
      <c r="F243" s="718" t="s"/>
      <c r="G243" s="718" t="s"/>
      <c r="H243" s="718" t="s"/>
      <c r="I243" s="718" t="s"/>
      <c r="J243" s="718" t="s"/>
      <c r="K243" s="718" t="s"/>
      <c r="L243" s="718" t="s"/>
    </row>
    <row r="244" spans="1:12">
      <c r="A244" s="719" t="s">
        <v>1579</v>
      </c>
      <c r="B244" s="720" t="s">
        <v>2062</v>
      </c>
      <c r="C244" s="721" t="s">
        <v>2063</v>
      </c>
      <c r="D244" s="720" t="s">
        <v>1582</v>
      </c>
      <c r="E244" s="718" t="s"/>
      <c r="F244" s="718" t="s"/>
      <c r="G244" s="718" t="s"/>
      <c r="H244" s="718" t="s"/>
      <c r="I244" s="718" t="s"/>
      <c r="J244" s="718" t="s"/>
      <c r="K244" s="718" t="s"/>
      <c r="L244" s="718" t="s"/>
    </row>
    <row r="245" spans="1:12">
      <c r="A245" s="719" t="s">
        <v>1579</v>
      </c>
      <c r="B245" s="720" t="s">
        <v>2064</v>
      </c>
      <c r="C245" s="721" t="s">
        <v>2065</v>
      </c>
      <c r="D245" s="720" t="s">
        <v>1582</v>
      </c>
      <c r="E245" s="718" t="s"/>
      <c r="F245" s="718" t="s"/>
      <c r="G245" s="718" t="s"/>
      <c r="H245" s="718" t="s"/>
      <c r="I245" s="718" t="s"/>
      <c r="J245" s="718" t="s"/>
      <c r="K245" s="718" t="s"/>
      <c r="L245" s="718" t="s"/>
    </row>
    <row r="246" spans="1:12">
      <c r="A246" s="719" t="s">
        <v>1579</v>
      </c>
      <c r="B246" s="720" t="s">
        <v>2066</v>
      </c>
      <c r="C246" s="721" t="s">
        <v>2067</v>
      </c>
      <c r="D246" s="720" t="s">
        <v>1582</v>
      </c>
      <c r="E246" s="718" t="s"/>
      <c r="F246" s="718" t="s"/>
      <c r="G246" s="718" t="s"/>
      <c r="H246" s="718" t="s"/>
      <c r="I246" s="718" t="s"/>
      <c r="J246" s="718" t="s"/>
      <c r="K246" s="718" t="s"/>
      <c r="L246" s="718" t="s"/>
    </row>
    <row r="247" spans="1:12">
      <c r="A247" s="719" t="s">
        <v>1579</v>
      </c>
      <c r="B247" s="720" t="s">
        <v>2068</v>
      </c>
      <c r="C247" s="721" t="s">
        <v>2069</v>
      </c>
      <c r="D247" s="720" t="s">
        <v>1582</v>
      </c>
      <c r="E247" s="718" t="s"/>
      <c r="F247" s="718" t="s"/>
      <c r="G247" s="718" t="s"/>
      <c r="H247" s="718" t="s"/>
      <c r="I247" s="718" t="s"/>
      <c r="J247" s="718" t="s"/>
      <c r="K247" s="718" t="s"/>
      <c r="L247" s="718" t="s"/>
    </row>
    <row r="248" spans="1:12">
      <c r="A248" s="719" t="s">
        <v>1579</v>
      </c>
      <c r="B248" s="720" t="s">
        <v>2070</v>
      </c>
      <c r="C248" s="721" t="s">
        <v>2071</v>
      </c>
      <c r="D248" s="720" t="s">
        <v>1582</v>
      </c>
      <c r="E248" s="718" t="s"/>
      <c r="F248" s="718" t="s"/>
      <c r="G248" s="718" t="s"/>
      <c r="H248" s="718" t="s"/>
      <c r="I248" s="718" t="s"/>
      <c r="J248" s="718" t="s"/>
      <c r="K248" s="718" t="s"/>
      <c r="L248" s="718" t="s"/>
    </row>
    <row r="249" spans="1:12">
      <c r="A249" s="719" t="s">
        <v>1579</v>
      </c>
      <c r="B249" s="720" t="s">
        <v>2072</v>
      </c>
      <c r="C249" s="721" t="s">
        <v>2073</v>
      </c>
      <c r="D249" s="720" t="s">
        <v>1582</v>
      </c>
      <c r="E249" s="718" t="s"/>
      <c r="F249" s="718" t="s"/>
      <c r="G249" s="718" t="s"/>
      <c r="H249" s="718" t="s"/>
      <c r="I249" s="718" t="s"/>
      <c r="J249" s="718" t="s"/>
      <c r="K249" s="718" t="s"/>
      <c r="L249" s="718" t="s"/>
    </row>
    <row r="250" spans="1:12">
      <c r="A250" s="719" t="s">
        <v>1579</v>
      </c>
      <c r="B250" s="720" t="s">
        <v>2074</v>
      </c>
      <c r="C250" s="721" t="s">
        <v>2075</v>
      </c>
      <c r="D250" s="720" t="s">
        <v>1582</v>
      </c>
      <c r="E250" s="718" t="s"/>
      <c r="F250" s="718" t="s"/>
      <c r="G250" s="718" t="s"/>
      <c r="H250" s="718" t="s"/>
      <c r="I250" s="718" t="s"/>
      <c r="J250" s="718" t="s"/>
      <c r="K250" s="718" t="s"/>
      <c r="L250" s="718" t="s"/>
    </row>
    <row r="251" spans="1:12">
      <c r="A251" s="719" t="s">
        <v>1579</v>
      </c>
      <c r="B251" s="720" t="s">
        <v>2076</v>
      </c>
      <c r="C251" s="721" t="s">
        <v>2077</v>
      </c>
      <c r="D251" s="720" t="s">
        <v>1582</v>
      </c>
      <c r="E251" s="718" t="s"/>
      <c r="F251" s="718" t="s"/>
      <c r="G251" s="718" t="s"/>
      <c r="H251" s="718" t="s"/>
      <c r="I251" s="718" t="s"/>
      <c r="J251" s="718" t="s"/>
      <c r="K251" s="718" t="s"/>
      <c r="L251" s="718" t="s"/>
    </row>
    <row r="252" spans="1:12">
      <c r="A252" s="719" t="s">
        <v>1579</v>
      </c>
      <c r="B252" s="720" t="s">
        <v>2078</v>
      </c>
      <c r="C252" s="721" t="s">
        <v>2079</v>
      </c>
      <c r="D252" s="720" t="s">
        <v>1582</v>
      </c>
      <c r="E252" s="718" t="s"/>
      <c r="F252" s="718" t="s"/>
      <c r="G252" s="718" t="s"/>
      <c r="H252" s="718" t="s"/>
      <c r="I252" s="718" t="s"/>
      <c r="J252" s="718" t="s"/>
      <c r="K252" s="718" t="s"/>
      <c r="L252" s="718" t="s"/>
    </row>
    <row r="253" spans="1:12">
      <c r="A253" s="719" t="s">
        <v>1579</v>
      </c>
      <c r="B253" s="720" t="s">
        <v>2080</v>
      </c>
      <c r="C253" s="721" t="s">
        <v>2081</v>
      </c>
      <c r="D253" s="720" t="s">
        <v>1582</v>
      </c>
      <c r="E253" s="718" t="s"/>
      <c r="F253" s="718" t="s"/>
      <c r="G253" s="718" t="s"/>
      <c r="H253" s="718" t="s"/>
      <c r="I253" s="718" t="s"/>
      <c r="J253" s="718" t="s"/>
      <c r="K253" s="718" t="s"/>
      <c r="L253" s="718" t="s"/>
    </row>
    <row r="254" spans="1:12">
      <c r="A254" s="719" t="s">
        <v>1579</v>
      </c>
      <c r="B254" s="720" t="s">
        <v>2082</v>
      </c>
      <c r="C254" s="721" t="s">
        <v>2083</v>
      </c>
      <c r="D254" s="720" t="s">
        <v>1582</v>
      </c>
      <c r="E254" s="718" t="s"/>
      <c r="F254" s="718" t="s"/>
      <c r="G254" s="718" t="s"/>
      <c r="H254" s="718" t="s"/>
      <c r="I254" s="718" t="s"/>
      <c r="J254" s="718" t="s"/>
      <c r="K254" s="718" t="s"/>
      <c r="L254" s="718" t="s"/>
    </row>
    <row r="255" spans="1:12">
      <c r="A255" s="719" t="s">
        <v>1579</v>
      </c>
      <c r="B255" s="720" t="s">
        <v>2084</v>
      </c>
      <c r="C255" s="721" t="s">
        <v>2085</v>
      </c>
      <c r="D255" s="720" t="s">
        <v>1582</v>
      </c>
      <c r="E255" s="718" t="s"/>
      <c r="F255" s="718" t="s"/>
      <c r="G255" s="718" t="s"/>
      <c r="H255" s="718" t="s"/>
      <c r="I255" s="718" t="s"/>
      <c r="J255" s="718" t="s"/>
      <c r="K255" s="718" t="s"/>
      <c r="L255" s="718" t="s"/>
    </row>
    <row r="256" spans="1:12">
      <c r="A256" s="719" t="s">
        <v>1579</v>
      </c>
      <c r="B256" s="720" t="s">
        <v>2086</v>
      </c>
      <c r="C256" s="721" t="s">
        <v>2087</v>
      </c>
      <c r="D256" s="720" t="s">
        <v>1582</v>
      </c>
      <c r="E256" s="718" t="s"/>
      <c r="F256" s="718" t="s"/>
      <c r="G256" s="718" t="s"/>
      <c r="H256" s="718" t="s"/>
      <c r="I256" s="718" t="s"/>
      <c r="J256" s="718" t="s"/>
      <c r="K256" s="718" t="s"/>
      <c r="L256" s="718" t="s"/>
    </row>
    <row r="257" spans="1:12">
      <c r="A257" s="719" t="s">
        <v>1579</v>
      </c>
      <c r="B257" s="720" t="s">
        <v>2088</v>
      </c>
      <c r="C257" s="721" t="s">
        <v>2089</v>
      </c>
      <c r="D257" s="720" t="s">
        <v>1582</v>
      </c>
      <c r="E257" s="718" t="s"/>
      <c r="F257" s="718" t="s"/>
      <c r="G257" s="718" t="s"/>
      <c r="H257" s="718" t="s"/>
      <c r="I257" s="718" t="s"/>
      <c r="J257" s="718" t="s"/>
      <c r="K257" s="718" t="s"/>
      <c r="L257" s="718" t="s"/>
    </row>
    <row r="258" spans="1:12">
      <c r="A258" s="719" t="s">
        <v>1579</v>
      </c>
      <c r="B258" s="720" t="s">
        <v>2090</v>
      </c>
      <c r="C258" s="721" t="s">
        <v>2091</v>
      </c>
      <c r="D258" s="720" t="s">
        <v>1582</v>
      </c>
      <c r="E258" s="718" t="s"/>
      <c r="F258" s="718" t="s"/>
      <c r="G258" s="718" t="s"/>
      <c r="H258" s="718" t="s"/>
      <c r="I258" s="718" t="s"/>
      <c r="J258" s="718" t="s"/>
      <c r="K258" s="718" t="s"/>
      <c r="L258" s="718" t="s"/>
    </row>
    <row r="259" spans="1:12">
      <c r="A259" s="719" t="s">
        <v>1579</v>
      </c>
      <c r="B259" s="720" t="s">
        <v>2092</v>
      </c>
      <c r="C259" s="721" t="s">
        <v>2093</v>
      </c>
      <c r="D259" s="720" t="s">
        <v>1582</v>
      </c>
      <c r="E259" s="718" t="s"/>
      <c r="F259" s="718" t="s"/>
      <c r="G259" s="718" t="s"/>
      <c r="H259" s="718" t="s"/>
      <c r="I259" s="718" t="s"/>
      <c r="J259" s="718" t="s"/>
      <c r="K259" s="718" t="s"/>
      <c r="L259" s="718" t="s"/>
    </row>
    <row r="260" spans="1:12">
      <c r="A260" s="719" t="s">
        <v>1579</v>
      </c>
      <c r="B260" s="720" t="s">
        <v>2094</v>
      </c>
      <c r="C260" s="721" t="s">
        <v>2095</v>
      </c>
      <c r="D260" s="720" t="s">
        <v>1582</v>
      </c>
      <c r="E260" s="718" t="s"/>
      <c r="F260" s="718" t="s"/>
      <c r="G260" s="718" t="s"/>
      <c r="H260" s="718" t="s"/>
      <c r="I260" s="718" t="s"/>
      <c r="J260" s="718" t="s"/>
      <c r="K260" s="718" t="s"/>
      <c r="L260" s="718" t="s"/>
    </row>
    <row r="261" spans="1:12">
      <c r="A261" s="719" t="s">
        <v>1579</v>
      </c>
      <c r="B261" s="720" t="s">
        <v>2096</v>
      </c>
      <c r="C261" s="721" t="s">
        <v>2097</v>
      </c>
      <c r="D261" s="720" t="s">
        <v>1582</v>
      </c>
      <c r="E261" s="718" t="s"/>
      <c r="F261" s="718" t="s"/>
      <c r="G261" s="718" t="s"/>
      <c r="H261" s="718" t="s"/>
      <c r="I261" s="718" t="s"/>
      <c r="J261" s="718" t="s"/>
      <c r="K261" s="718" t="s"/>
      <c r="L261" s="718" t="s"/>
    </row>
    <row r="262" spans="1:12">
      <c r="A262" s="719" t="s">
        <v>1579</v>
      </c>
      <c r="B262" s="720" t="s">
        <v>2098</v>
      </c>
      <c r="C262" s="721" t="s">
        <v>2099</v>
      </c>
      <c r="D262" s="720" t="s">
        <v>1582</v>
      </c>
      <c r="E262" s="718" t="s"/>
      <c r="F262" s="718" t="s"/>
      <c r="G262" s="718" t="s"/>
      <c r="H262" s="718" t="s"/>
      <c r="I262" s="718" t="s"/>
      <c r="J262" s="718" t="s"/>
      <c r="K262" s="718" t="s"/>
      <c r="L262" s="718" t="s"/>
    </row>
    <row r="263" spans="1:12">
      <c r="A263" s="719" t="s">
        <v>1579</v>
      </c>
      <c r="B263" s="720" t="s">
        <v>2100</v>
      </c>
      <c r="C263" s="721" t="s">
        <v>2101</v>
      </c>
      <c r="D263" s="720" t="s">
        <v>1582</v>
      </c>
      <c r="E263" s="718" t="s"/>
      <c r="F263" s="718" t="s"/>
      <c r="G263" s="718" t="s"/>
      <c r="H263" s="718" t="s"/>
      <c r="I263" s="718" t="s"/>
      <c r="J263" s="718" t="s"/>
      <c r="K263" s="718" t="s"/>
      <c r="L263" s="718" t="s"/>
    </row>
    <row r="264" spans="1:12">
      <c r="A264" s="719" t="s">
        <v>1579</v>
      </c>
      <c r="B264" s="720" t="s">
        <v>2102</v>
      </c>
      <c r="C264" s="721" t="s">
        <v>2103</v>
      </c>
      <c r="D264" s="720" t="s">
        <v>1582</v>
      </c>
      <c r="E264" s="718" t="s"/>
      <c r="F264" s="718" t="s"/>
      <c r="G264" s="718" t="s"/>
      <c r="H264" s="718" t="s"/>
      <c r="I264" s="718" t="s"/>
      <c r="J264" s="718" t="s"/>
      <c r="K264" s="718" t="s"/>
      <c r="L264" s="718" t="s"/>
    </row>
    <row r="265" spans="1:12">
      <c r="A265" s="719" t="s">
        <v>1579</v>
      </c>
      <c r="B265" s="720" t="s">
        <v>2104</v>
      </c>
      <c r="C265" s="721" t="s">
        <v>2105</v>
      </c>
      <c r="D265" s="720" t="s">
        <v>1582</v>
      </c>
      <c r="E265" s="718" t="s"/>
      <c r="F265" s="718" t="s"/>
      <c r="G265" s="718" t="s"/>
      <c r="H265" s="718" t="s"/>
      <c r="I265" s="718" t="s"/>
      <c r="J265" s="718" t="s"/>
      <c r="K265" s="718" t="s"/>
      <c r="L265" s="718" t="s"/>
    </row>
    <row r="266" spans="1:12">
      <c r="A266" s="719" t="s">
        <v>1579</v>
      </c>
      <c r="B266" s="720" t="s">
        <v>2106</v>
      </c>
      <c r="C266" s="721" t="s">
        <v>2107</v>
      </c>
      <c r="D266" s="720" t="s">
        <v>1582</v>
      </c>
      <c r="E266" s="718" t="s"/>
      <c r="F266" s="718" t="s"/>
      <c r="G266" s="718" t="s"/>
      <c r="H266" s="718" t="s"/>
      <c r="I266" s="718" t="s"/>
      <c r="J266" s="718" t="s"/>
      <c r="K266" s="718" t="s"/>
      <c r="L266" s="718" t="s"/>
    </row>
    <row r="267" spans="1:12">
      <c r="A267" s="719" t="s">
        <v>1579</v>
      </c>
      <c r="B267" s="720" t="s">
        <v>2108</v>
      </c>
      <c r="C267" s="721" t="s">
        <v>2109</v>
      </c>
      <c r="D267" s="720" t="s">
        <v>1582</v>
      </c>
      <c r="E267" s="718" t="s"/>
      <c r="F267" s="718" t="s"/>
      <c r="G267" s="718" t="s"/>
      <c r="H267" s="718" t="s"/>
      <c r="I267" s="718" t="s"/>
      <c r="J267" s="718" t="s"/>
      <c r="K267" s="718" t="s"/>
      <c r="L267" s="718" t="s"/>
    </row>
    <row r="268" spans="1:12">
      <c r="A268" s="719" t="s">
        <v>1579</v>
      </c>
      <c r="B268" s="720" t="s">
        <v>2110</v>
      </c>
      <c r="C268" s="721" t="s">
        <v>2111</v>
      </c>
      <c r="D268" s="720" t="s">
        <v>1582</v>
      </c>
      <c r="E268" s="718" t="s"/>
      <c r="F268" s="718" t="s"/>
      <c r="G268" s="718" t="s"/>
      <c r="H268" s="718" t="s"/>
      <c r="I268" s="718" t="s"/>
      <c r="J268" s="718" t="s"/>
      <c r="K268" s="718" t="s"/>
      <c r="L268" s="718" t="s"/>
    </row>
    <row r="269" spans="1:12">
      <c r="A269" s="719" t="s">
        <v>1579</v>
      </c>
      <c r="B269" s="720" t="s">
        <v>2112</v>
      </c>
      <c r="C269" s="721" t="s">
        <v>2113</v>
      </c>
      <c r="D269" s="720" t="s">
        <v>1582</v>
      </c>
      <c r="E269" s="718" t="s"/>
      <c r="F269" s="718" t="s"/>
      <c r="G269" s="718" t="s"/>
      <c r="H269" s="718" t="s"/>
      <c r="I269" s="718" t="s"/>
      <c r="J269" s="718" t="s"/>
      <c r="K269" s="718" t="s"/>
      <c r="L269" s="718" t="s"/>
    </row>
    <row r="270" spans="1:12">
      <c r="A270" s="719" t="s">
        <v>1579</v>
      </c>
      <c r="B270" s="720" t="s">
        <v>2114</v>
      </c>
      <c r="C270" s="721" t="s">
        <v>2115</v>
      </c>
      <c r="D270" s="720" t="s">
        <v>1582</v>
      </c>
      <c r="E270" s="718" t="s"/>
      <c r="F270" s="718" t="s"/>
      <c r="G270" s="718" t="s"/>
      <c r="H270" s="718" t="s"/>
      <c r="I270" s="718" t="s"/>
      <c r="J270" s="718" t="s"/>
      <c r="K270" s="718" t="s"/>
      <c r="L270" s="718" t="s"/>
    </row>
    <row r="271" spans="1:12">
      <c r="A271" s="719" t="s">
        <v>1579</v>
      </c>
      <c r="B271" s="720" t="s">
        <v>2116</v>
      </c>
      <c r="C271" s="721" t="s">
        <v>2117</v>
      </c>
      <c r="D271" s="720" t="s">
        <v>1582</v>
      </c>
      <c r="E271" s="718" t="s"/>
      <c r="F271" s="718" t="s"/>
      <c r="G271" s="718" t="s"/>
      <c r="H271" s="718" t="s"/>
      <c r="I271" s="718" t="s"/>
      <c r="J271" s="718" t="s"/>
      <c r="K271" s="718" t="s"/>
      <c r="L271" s="718" t="s"/>
    </row>
    <row r="272" spans="1:12">
      <c r="A272" s="719" t="s">
        <v>1579</v>
      </c>
      <c r="B272" s="720" t="s">
        <v>2118</v>
      </c>
      <c r="C272" s="721" t="s">
        <v>2119</v>
      </c>
      <c r="D272" s="720" t="s">
        <v>1582</v>
      </c>
      <c r="E272" s="718" t="s"/>
      <c r="F272" s="718" t="s"/>
      <c r="G272" s="718" t="s"/>
      <c r="H272" s="718" t="s"/>
      <c r="I272" s="718" t="s"/>
      <c r="J272" s="718" t="s"/>
      <c r="K272" s="718" t="s"/>
      <c r="L272" s="718" t="s"/>
    </row>
    <row r="273" spans="1:12">
      <c r="A273" s="719" t="s">
        <v>1579</v>
      </c>
      <c r="B273" s="720" t="s">
        <v>2120</v>
      </c>
      <c r="C273" s="721" t="s">
        <v>2121</v>
      </c>
      <c r="D273" s="720" t="s">
        <v>1582</v>
      </c>
      <c r="E273" s="718" t="s"/>
      <c r="F273" s="718" t="s"/>
      <c r="G273" s="718" t="s"/>
      <c r="H273" s="718" t="s"/>
      <c r="I273" s="718" t="s"/>
      <c r="J273" s="718" t="s"/>
      <c r="K273" s="718" t="s"/>
      <c r="L273" s="718" t="s"/>
    </row>
    <row r="274" spans="1:12">
      <c r="A274" s="719" t="s">
        <v>1579</v>
      </c>
      <c r="B274" s="720" t="s">
        <v>2122</v>
      </c>
      <c r="C274" s="721" t="s">
        <v>2123</v>
      </c>
      <c r="D274" s="720" t="s">
        <v>1582</v>
      </c>
      <c r="E274" s="718" t="s"/>
      <c r="F274" s="718" t="s"/>
      <c r="G274" s="718" t="s"/>
      <c r="H274" s="718" t="s"/>
      <c r="I274" s="718" t="s"/>
      <c r="J274" s="718" t="s"/>
      <c r="K274" s="718" t="s"/>
      <c r="L274" s="718" t="s"/>
    </row>
    <row r="275" spans="1:12">
      <c r="A275" s="719" t="s">
        <v>1579</v>
      </c>
      <c r="B275" s="720" t="s">
        <v>2124</v>
      </c>
      <c r="C275" s="721" t="s">
        <v>2125</v>
      </c>
      <c r="D275" s="720" t="s">
        <v>1582</v>
      </c>
      <c r="E275" s="718" t="s"/>
      <c r="F275" s="718" t="s"/>
      <c r="G275" s="718" t="s"/>
      <c r="H275" s="718" t="s"/>
      <c r="I275" s="718" t="s"/>
      <c r="J275" s="718" t="s"/>
      <c r="K275" s="718" t="s"/>
      <c r="L275" s="718" t="s"/>
    </row>
    <row r="276" spans="1:12">
      <c r="A276" s="719" t="s">
        <v>1579</v>
      </c>
      <c r="B276" s="720" t="s">
        <v>2126</v>
      </c>
      <c r="C276" s="721" t="s">
        <v>2127</v>
      </c>
      <c r="D276" s="720" t="s">
        <v>1582</v>
      </c>
      <c r="E276" s="718" t="s"/>
      <c r="F276" s="718" t="s"/>
      <c r="G276" s="718" t="s"/>
      <c r="H276" s="718" t="s"/>
      <c r="I276" s="718" t="s"/>
      <c r="J276" s="718" t="s"/>
      <c r="K276" s="718" t="s"/>
      <c r="L276" s="718" t="s"/>
    </row>
    <row r="277" spans="1:12">
      <c r="A277" s="719" t="s">
        <v>1579</v>
      </c>
      <c r="B277" s="720" t="s">
        <v>2128</v>
      </c>
      <c r="C277" s="721" t="s">
        <v>2129</v>
      </c>
      <c r="D277" s="720" t="s">
        <v>1582</v>
      </c>
      <c r="E277" s="718" t="s"/>
      <c r="F277" s="718" t="s"/>
      <c r="G277" s="718" t="s"/>
      <c r="H277" s="718" t="s"/>
      <c r="I277" s="718" t="s"/>
      <c r="J277" s="718" t="s"/>
      <c r="K277" s="718" t="s"/>
      <c r="L277" s="718" t="s"/>
    </row>
    <row r="278" spans="1:12">
      <c r="A278" s="719" t="s">
        <v>1579</v>
      </c>
      <c r="B278" s="720" t="s">
        <v>2130</v>
      </c>
      <c r="C278" s="721" t="s">
        <v>2131</v>
      </c>
      <c r="D278" s="720" t="s">
        <v>1582</v>
      </c>
      <c r="E278" s="718" t="s"/>
      <c r="F278" s="718" t="s"/>
      <c r="G278" s="718" t="s"/>
      <c r="H278" s="718" t="s"/>
      <c r="I278" s="718" t="s"/>
      <c r="J278" s="718" t="s"/>
      <c r="K278" s="718" t="s"/>
      <c r="L278" s="718" t="s"/>
    </row>
    <row r="279" spans="1:12">
      <c r="A279" s="719" t="s">
        <v>1579</v>
      </c>
      <c r="B279" s="720" t="s">
        <v>2132</v>
      </c>
      <c r="C279" s="721" t="s">
        <v>2133</v>
      </c>
      <c r="D279" s="720" t="s">
        <v>1582</v>
      </c>
      <c r="E279" s="718" t="s"/>
      <c r="F279" s="718" t="s"/>
      <c r="G279" s="718" t="s"/>
      <c r="H279" s="718" t="s"/>
      <c r="I279" s="718" t="s"/>
      <c r="J279" s="718" t="s"/>
      <c r="K279" s="718" t="s"/>
      <c r="L279" s="718" t="s"/>
    </row>
    <row r="280" spans="1:12">
      <c r="A280" s="719" t="s">
        <v>1579</v>
      </c>
      <c r="B280" s="720" t="s">
        <v>2134</v>
      </c>
      <c r="C280" s="721" t="s">
        <v>2135</v>
      </c>
      <c r="D280" s="720" t="s">
        <v>1582</v>
      </c>
      <c r="E280" s="718" t="s"/>
      <c r="F280" s="718" t="s"/>
      <c r="G280" s="718" t="s"/>
      <c r="H280" s="718" t="s"/>
      <c r="I280" s="718" t="s"/>
      <c r="J280" s="718" t="s"/>
      <c r="K280" s="718" t="s"/>
      <c r="L280" s="718" t="s"/>
    </row>
    <row r="281" spans="1:12">
      <c r="A281" s="719" t="s">
        <v>1579</v>
      </c>
      <c r="B281" s="720" t="s">
        <v>2136</v>
      </c>
      <c r="C281" s="721" t="s">
        <v>2137</v>
      </c>
      <c r="D281" s="720" t="s">
        <v>1582</v>
      </c>
      <c r="E281" s="718" t="s"/>
      <c r="F281" s="718" t="s"/>
      <c r="G281" s="718" t="s"/>
      <c r="H281" s="718" t="s"/>
      <c r="I281" s="718" t="s"/>
      <c r="J281" s="718" t="s"/>
      <c r="K281" s="718" t="s"/>
      <c r="L281" s="718" t="s"/>
    </row>
    <row r="282" spans="1:12">
      <c r="A282" s="719" t="s">
        <v>1579</v>
      </c>
      <c r="B282" s="720" t="s">
        <v>2138</v>
      </c>
      <c r="C282" s="721" t="s">
        <v>2139</v>
      </c>
      <c r="D282" s="720" t="s">
        <v>1582</v>
      </c>
      <c r="E282" s="718" t="s"/>
      <c r="F282" s="718" t="s"/>
      <c r="G282" s="718" t="s"/>
      <c r="H282" s="718" t="s"/>
      <c r="I282" s="718" t="s"/>
      <c r="J282" s="718" t="s"/>
      <c r="K282" s="718" t="s"/>
      <c r="L282" s="718" t="s"/>
    </row>
    <row r="283" spans="1:12">
      <c r="A283" s="719" t="s">
        <v>1579</v>
      </c>
      <c r="B283" s="720" t="s">
        <v>2140</v>
      </c>
      <c r="C283" s="721" t="s">
        <v>2141</v>
      </c>
      <c r="D283" s="720" t="s">
        <v>1582</v>
      </c>
      <c r="E283" s="718" t="s"/>
      <c r="F283" s="718" t="s"/>
      <c r="G283" s="718" t="s"/>
      <c r="H283" s="718" t="s"/>
      <c r="I283" s="718" t="s"/>
      <c r="J283" s="718" t="s"/>
      <c r="K283" s="718" t="s"/>
      <c r="L283" s="718" t="s"/>
    </row>
    <row r="284" spans="1:12">
      <c r="A284" s="719" t="s">
        <v>1579</v>
      </c>
      <c r="B284" s="720" t="s">
        <v>2142</v>
      </c>
      <c r="C284" s="721" t="s">
        <v>2143</v>
      </c>
      <c r="D284" s="720" t="s">
        <v>1582</v>
      </c>
      <c r="E284" s="718" t="s"/>
      <c r="F284" s="718" t="s"/>
      <c r="G284" s="718" t="s"/>
      <c r="H284" s="718" t="s"/>
      <c r="I284" s="718" t="s"/>
      <c r="J284" s="718" t="s"/>
      <c r="K284" s="718" t="s"/>
      <c r="L284" s="718" t="s"/>
    </row>
    <row r="285" spans="1:12">
      <c r="A285" s="719" t="s">
        <v>1579</v>
      </c>
      <c r="B285" s="720" t="s">
        <v>2144</v>
      </c>
      <c r="C285" s="721" t="s">
        <v>2145</v>
      </c>
      <c r="D285" s="720" t="s">
        <v>1582</v>
      </c>
      <c r="E285" s="718" t="s"/>
      <c r="F285" s="718" t="s"/>
      <c r="G285" s="718" t="s"/>
      <c r="H285" s="718" t="s"/>
      <c r="I285" s="718" t="s"/>
      <c r="J285" s="718" t="s"/>
      <c r="K285" s="718" t="s"/>
      <c r="L285" s="718" t="s"/>
    </row>
    <row r="286" spans="1:12">
      <c r="A286" s="719" t="s">
        <v>1579</v>
      </c>
      <c r="B286" s="720" t="s">
        <v>2146</v>
      </c>
      <c r="C286" s="721" t="s">
        <v>2147</v>
      </c>
      <c r="D286" s="720" t="s">
        <v>1582</v>
      </c>
      <c r="E286" s="718" t="s"/>
      <c r="F286" s="718" t="s"/>
      <c r="G286" s="718" t="s"/>
      <c r="H286" s="718" t="s"/>
      <c r="I286" s="718" t="s"/>
      <c r="J286" s="718" t="s"/>
      <c r="K286" s="718" t="s"/>
      <c r="L286" s="718" t="s"/>
    </row>
    <row r="287" spans="1:12">
      <c r="A287" s="719" t="s">
        <v>1579</v>
      </c>
      <c r="B287" s="720" t="s">
        <v>2148</v>
      </c>
      <c r="C287" s="721" t="s">
        <v>2149</v>
      </c>
      <c r="D287" s="720" t="s">
        <v>1582</v>
      </c>
      <c r="E287" s="718" t="s"/>
      <c r="F287" s="718" t="s"/>
      <c r="G287" s="718" t="s"/>
      <c r="H287" s="718" t="s"/>
      <c r="I287" s="718" t="s"/>
      <c r="J287" s="718" t="s"/>
      <c r="K287" s="718" t="s"/>
      <c r="L287" s="718" t="s"/>
    </row>
    <row r="288" spans="1:12">
      <c r="A288" s="719" t="s">
        <v>1579</v>
      </c>
      <c r="B288" s="720" t="s">
        <v>2150</v>
      </c>
      <c r="C288" s="721" t="s">
        <v>2151</v>
      </c>
      <c r="D288" s="720" t="s">
        <v>1582</v>
      </c>
      <c r="E288" s="718" t="s"/>
      <c r="F288" s="718" t="s"/>
      <c r="G288" s="718" t="s"/>
      <c r="H288" s="718" t="s"/>
      <c r="I288" s="718" t="s"/>
      <c r="J288" s="718" t="s"/>
      <c r="K288" s="718" t="s"/>
      <c r="L288" s="718" t="s"/>
    </row>
    <row r="289" spans="1:12">
      <c r="A289" s="719" t="s">
        <v>1579</v>
      </c>
      <c r="B289" s="720" t="s">
        <v>2152</v>
      </c>
      <c r="C289" s="721" t="s">
        <v>2153</v>
      </c>
      <c r="D289" s="720" t="s">
        <v>1582</v>
      </c>
      <c r="E289" s="718" t="s"/>
      <c r="F289" s="718" t="s"/>
      <c r="G289" s="718" t="s"/>
      <c r="H289" s="718" t="s"/>
      <c r="I289" s="718" t="s"/>
      <c r="J289" s="718" t="s"/>
      <c r="K289" s="718" t="s"/>
      <c r="L289" s="718" t="s"/>
    </row>
    <row r="290" spans="1:12">
      <c r="A290" s="719" t="s">
        <v>1579</v>
      </c>
      <c r="B290" s="720" t="s">
        <v>2154</v>
      </c>
      <c r="C290" s="721" t="s">
        <v>2155</v>
      </c>
      <c r="D290" s="720" t="s">
        <v>1582</v>
      </c>
      <c r="E290" s="718" t="s"/>
      <c r="F290" s="718" t="s"/>
      <c r="G290" s="718" t="s"/>
      <c r="H290" s="718" t="s"/>
      <c r="I290" s="718" t="s"/>
      <c r="J290" s="718" t="s"/>
      <c r="K290" s="718" t="s"/>
      <c r="L290" s="718" t="s"/>
    </row>
    <row r="291" spans="1:12">
      <c r="A291" s="719" t="s">
        <v>1579</v>
      </c>
      <c r="B291" s="720" t="s">
        <v>2156</v>
      </c>
      <c r="C291" s="721" t="s">
        <v>2157</v>
      </c>
      <c r="D291" s="720" t="s">
        <v>1582</v>
      </c>
      <c r="E291" s="718" t="s"/>
      <c r="F291" s="718" t="s"/>
      <c r="G291" s="718" t="s"/>
      <c r="H291" s="718" t="s"/>
      <c r="I291" s="718" t="s"/>
      <c r="J291" s="718" t="s"/>
      <c r="K291" s="718" t="s"/>
      <c r="L291" s="718" t="s"/>
    </row>
    <row r="292" spans="1:12">
      <c r="A292" s="719" t="s">
        <v>1579</v>
      </c>
      <c r="B292" s="720" t="s">
        <v>2158</v>
      </c>
      <c r="C292" s="721" t="s">
        <v>2159</v>
      </c>
      <c r="D292" s="720" t="s">
        <v>1582</v>
      </c>
      <c r="E292" s="718" t="s"/>
      <c r="F292" s="718" t="s"/>
      <c r="G292" s="718" t="s"/>
      <c r="H292" s="718" t="s"/>
      <c r="I292" s="718" t="s"/>
      <c r="J292" s="718" t="s"/>
      <c r="K292" s="718" t="s"/>
      <c r="L292" s="718" t="s"/>
    </row>
    <row r="293" spans="1:12">
      <c r="A293" s="719" t="s">
        <v>1579</v>
      </c>
      <c r="B293" s="720" t="s">
        <v>2160</v>
      </c>
      <c r="C293" s="721" t="s">
        <v>2161</v>
      </c>
      <c r="D293" s="720" t="s">
        <v>1582</v>
      </c>
      <c r="E293" s="718" t="s"/>
      <c r="F293" s="718" t="s"/>
      <c r="G293" s="718" t="s"/>
      <c r="H293" s="718" t="s"/>
      <c r="I293" s="718" t="s"/>
      <c r="J293" s="718" t="s"/>
      <c r="K293" s="718" t="s"/>
      <c r="L293" s="718" t="s"/>
    </row>
    <row r="294" spans="1:12">
      <c r="A294" s="719" t="s">
        <v>1579</v>
      </c>
      <c r="B294" s="720" t="s">
        <v>2162</v>
      </c>
      <c r="C294" s="721" t="s">
        <v>2163</v>
      </c>
      <c r="D294" s="720" t="s">
        <v>1582</v>
      </c>
      <c r="E294" s="718" t="s"/>
      <c r="F294" s="718" t="s"/>
      <c r="G294" s="718" t="s"/>
      <c r="H294" s="718" t="s"/>
      <c r="I294" s="718" t="s"/>
      <c r="J294" s="718" t="s"/>
      <c r="K294" s="718" t="s"/>
      <c r="L294" s="718" t="s"/>
    </row>
    <row r="295" spans="1:12">
      <c r="A295" s="719" t="s">
        <v>1579</v>
      </c>
      <c r="B295" s="720" t="s">
        <v>2164</v>
      </c>
      <c r="C295" s="721" t="s">
        <v>2165</v>
      </c>
      <c r="D295" s="720" t="s">
        <v>1582</v>
      </c>
      <c r="E295" s="718" t="s"/>
      <c r="F295" s="718" t="s"/>
      <c r="G295" s="718" t="s"/>
      <c r="H295" s="718" t="s"/>
      <c r="I295" s="718" t="s"/>
      <c r="J295" s="718" t="s"/>
      <c r="K295" s="718" t="s"/>
      <c r="L295" s="718" t="s"/>
    </row>
    <row r="296" spans="1:12">
      <c r="A296" s="719" t="s">
        <v>1579</v>
      </c>
      <c r="B296" s="720" t="s">
        <v>2166</v>
      </c>
      <c r="C296" s="721" t="s">
        <v>2167</v>
      </c>
      <c r="D296" s="720" t="s">
        <v>1582</v>
      </c>
      <c r="E296" s="718" t="s"/>
      <c r="F296" s="718" t="s"/>
      <c r="G296" s="718" t="s"/>
      <c r="H296" s="718" t="s"/>
      <c r="I296" s="718" t="s"/>
      <c r="J296" s="718" t="s"/>
      <c r="K296" s="718" t="s"/>
      <c r="L296" s="718" t="s"/>
    </row>
    <row r="297" spans="1:12">
      <c r="A297" s="719" t="s">
        <v>1579</v>
      </c>
      <c r="B297" s="720" t="s">
        <v>2168</v>
      </c>
      <c r="C297" s="721" t="s">
        <v>2169</v>
      </c>
      <c r="D297" s="720" t="s">
        <v>1582</v>
      </c>
      <c r="E297" s="718" t="s"/>
      <c r="F297" s="718" t="s"/>
      <c r="G297" s="718" t="s"/>
      <c r="H297" s="718" t="s"/>
      <c r="I297" s="718" t="s"/>
      <c r="J297" s="718" t="s"/>
      <c r="K297" s="718" t="s"/>
      <c r="L297" s="718" t="s"/>
    </row>
    <row r="298" spans="1:12">
      <c r="A298" s="719" t="s">
        <v>1579</v>
      </c>
      <c r="B298" s="720" t="s">
        <v>2170</v>
      </c>
      <c r="C298" s="721" t="s">
        <v>2171</v>
      </c>
      <c r="D298" s="720" t="s">
        <v>1582</v>
      </c>
      <c r="E298" s="718" t="s"/>
      <c r="F298" s="718" t="s"/>
      <c r="G298" s="718" t="s"/>
      <c r="H298" s="718" t="s"/>
      <c r="I298" s="718" t="s"/>
      <c r="J298" s="718" t="s"/>
      <c r="K298" s="718" t="s"/>
      <c r="L298" s="718" t="s"/>
    </row>
    <row r="299" spans="1:12">
      <c r="A299" s="719" t="s">
        <v>1579</v>
      </c>
      <c r="B299" s="720" t="s">
        <v>2172</v>
      </c>
      <c r="C299" s="721" t="s">
        <v>2173</v>
      </c>
      <c r="D299" s="720" t="s">
        <v>1582</v>
      </c>
      <c r="E299" s="718" t="s"/>
      <c r="F299" s="718" t="s"/>
      <c r="G299" s="718" t="s"/>
      <c r="H299" s="718" t="s"/>
      <c r="I299" s="718" t="s"/>
      <c r="J299" s="718" t="s"/>
      <c r="K299" s="718" t="s"/>
      <c r="L299" s="718" t="s"/>
    </row>
    <row r="300" spans="1:12">
      <c r="A300" s="719" t="s">
        <v>1579</v>
      </c>
      <c r="B300" s="720" t="s">
        <v>2174</v>
      </c>
      <c r="C300" s="721" t="s">
        <v>2175</v>
      </c>
      <c r="D300" s="720" t="s">
        <v>1582</v>
      </c>
      <c r="E300" s="718" t="s"/>
      <c r="F300" s="718" t="s"/>
      <c r="G300" s="718" t="s"/>
      <c r="H300" s="718" t="s"/>
      <c r="I300" s="718" t="s"/>
      <c r="J300" s="718" t="s"/>
      <c r="K300" s="718" t="s"/>
      <c r="L300" s="718" t="s"/>
    </row>
    <row r="301" spans="1:12">
      <c r="A301" s="719" t="s">
        <v>1579</v>
      </c>
      <c r="B301" s="720" t="s">
        <v>2176</v>
      </c>
      <c r="C301" s="721" t="s">
        <v>2177</v>
      </c>
      <c r="D301" s="720" t="s">
        <v>1582</v>
      </c>
      <c r="E301" s="718" t="s"/>
      <c r="F301" s="718" t="s"/>
      <c r="G301" s="718" t="s"/>
      <c r="H301" s="718" t="s"/>
      <c r="I301" s="718" t="s"/>
      <c r="J301" s="718" t="s"/>
      <c r="K301" s="718" t="s"/>
      <c r="L301" s="718" t="s"/>
    </row>
    <row r="302" spans="1:12">
      <c r="A302" s="719" t="s">
        <v>1579</v>
      </c>
      <c r="B302" s="720" t="s">
        <v>2178</v>
      </c>
      <c r="C302" s="721" t="s">
        <v>2179</v>
      </c>
      <c r="D302" s="720" t="s">
        <v>1582</v>
      </c>
      <c r="E302" s="718" t="s"/>
      <c r="F302" s="718" t="s"/>
      <c r="G302" s="718" t="s"/>
      <c r="H302" s="718" t="s"/>
      <c r="I302" s="718" t="s"/>
      <c r="J302" s="718" t="s"/>
      <c r="K302" s="718" t="s"/>
      <c r="L302" s="718" t="s"/>
    </row>
    <row r="303" spans="1:12">
      <c r="A303" s="719" t="s">
        <v>1579</v>
      </c>
      <c r="B303" s="720" t="s">
        <v>2180</v>
      </c>
      <c r="C303" s="721" t="s">
        <v>2181</v>
      </c>
      <c r="D303" s="720" t="s">
        <v>1582</v>
      </c>
      <c r="E303" s="718" t="s"/>
      <c r="F303" s="718" t="s"/>
      <c r="G303" s="718" t="s"/>
      <c r="H303" s="718" t="s"/>
      <c r="I303" s="718" t="s"/>
      <c r="J303" s="718" t="s"/>
      <c r="K303" s="718" t="s"/>
      <c r="L303" s="718" t="s"/>
    </row>
    <row r="304" spans="1:12">
      <c r="A304" s="719" t="s">
        <v>1579</v>
      </c>
      <c r="B304" s="720" t="s">
        <v>2182</v>
      </c>
      <c r="C304" s="721" t="s">
        <v>2183</v>
      </c>
      <c r="D304" s="720" t="s">
        <v>1582</v>
      </c>
      <c r="E304" s="718" t="s"/>
      <c r="F304" s="718" t="s"/>
      <c r="G304" s="718" t="s"/>
      <c r="H304" s="718" t="s"/>
      <c r="I304" s="718" t="s"/>
      <c r="J304" s="718" t="s"/>
      <c r="K304" s="718" t="s"/>
      <c r="L304" s="718" t="s"/>
    </row>
    <row r="305" spans="1:12">
      <c r="A305" s="719" t="s">
        <v>1579</v>
      </c>
      <c r="B305" s="720" t="s">
        <v>2184</v>
      </c>
      <c r="C305" s="721" t="s">
        <v>2185</v>
      </c>
      <c r="D305" s="720" t="s">
        <v>1582</v>
      </c>
      <c r="E305" s="718" t="s"/>
      <c r="F305" s="718" t="s"/>
      <c r="G305" s="718" t="s"/>
      <c r="H305" s="718" t="s"/>
      <c r="I305" s="718" t="s"/>
      <c r="J305" s="718" t="s"/>
      <c r="K305" s="718" t="s"/>
      <c r="L305" s="718" t="s"/>
    </row>
    <row r="306" spans="1:12">
      <c r="A306" s="719" t="s">
        <v>1579</v>
      </c>
      <c r="B306" s="720" t="s">
        <v>2186</v>
      </c>
      <c r="C306" s="721" t="s">
        <v>2187</v>
      </c>
      <c r="D306" s="720" t="s">
        <v>1582</v>
      </c>
      <c r="E306" s="718" t="s"/>
      <c r="F306" s="718" t="s"/>
      <c r="G306" s="718" t="s"/>
      <c r="H306" s="718" t="s"/>
      <c r="I306" s="718" t="s"/>
      <c r="J306" s="718" t="s"/>
      <c r="K306" s="718" t="s"/>
      <c r="L306" s="718" t="s"/>
    </row>
    <row r="307" spans="1:12">
      <c r="A307" s="719" t="s">
        <v>1579</v>
      </c>
      <c r="B307" s="720" t="s">
        <v>2188</v>
      </c>
      <c r="C307" s="721" t="s">
        <v>2189</v>
      </c>
      <c r="D307" s="720" t="s">
        <v>1582</v>
      </c>
      <c r="E307" s="718" t="s"/>
      <c r="F307" s="718" t="s"/>
      <c r="G307" s="718" t="s"/>
      <c r="H307" s="718" t="s"/>
      <c r="I307" s="718" t="s"/>
      <c r="J307" s="718" t="s"/>
      <c r="K307" s="718" t="s"/>
      <c r="L307" s="718" t="s"/>
    </row>
    <row r="308" spans="1:12">
      <c r="A308" s="719" t="s">
        <v>1579</v>
      </c>
      <c r="B308" s="720" t="s">
        <v>2190</v>
      </c>
      <c r="C308" s="721" t="s">
        <v>2191</v>
      </c>
      <c r="D308" s="720" t="s">
        <v>1582</v>
      </c>
      <c r="E308" s="718" t="s"/>
      <c r="F308" s="718" t="s"/>
      <c r="G308" s="718" t="s"/>
      <c r="H308" s="718" t="s"/>
      <c r="I308" s="718" t="s"/>
      <c r="J308" s="718" t="s"/>
      <c r="K308" s="718" t="s"/>
      <c r="L308" s="718" t="s"/>
    </row>
    <row r="309" spans="1:12">
      <c r="A309" s="719" t="s">
        <v>1579</v>
      </c>
      <c r="B309" s="720" t="s">
        <v>2192</v>
      </c>
      <c r="C309" s="721" t="s">
        <v>2193</v>
      </c>
      <c r="D309" s="720" t="s">
        <v>1582</v>
      </c>
      <c r="E309" s="718" t="s"/>
      <c r="F309" s="718" t="s"/>
      <c r="G309" s="718" t="s"/>
      <c r="H309" s="718" t="s"/>
      <c r="I309" s="718" t="s"/>
      <c r="J309" s="718" t="s"/>
      <c r="K309" s="718" t="s"/>
      <c r="L309" s="718" t="s"/>
    </row>
    <row r="310" spans="1:12">
      <c r="A310" s="719" t="s">
        <v>1579</v>
      </c>
      <c r="B310" s="720" t="s">
        <v>2194</v>
      </c>
      <c r="C310" s="721" t="s">
        <v>2195</v>
      </c>
      <c r="D310" s="720" t="s">
        <v>1582</v>
      </c>
      <c r="E310" s="718" t="s"/>
      <c r="F310" s="718" t="s"/>
      <c r="G310" s="718" t="s"/>
      <c r="H310" s="718" t="s"/>
      <c r="I310" s="718" t="s"/>
      <c r="J310" s="718" t="s"/>
      <c r="K310" s="718" t="s"/>
      <c r="L310" s="718" t="s"/>
    </row>
    <row r="311" spans="1:12">
      <c r="A311" s="719" t="s">
        <v>1579</v>
      </c>
      <c r="B311" s="720" t="s">
        <v>2196</v>
      </c>
      <c r="C311" s="721" t="s">
        <v>2197</v>
      </c>
      <c r="D311" s="720" t="s">
        <v>1582</v>
      </c>
      <c r="E311" s="718" t="s"/>
      <c r="F311" s="718" t="s"/>
      <c r="G311" s="718" t="s"/>
      <c r="H311" s="718" t="s"/>
      <c r="I311" s="718" t="s"/>
      <c r="J311" s="718" t="s"/>
      <c r="K311" s="718" t="s"/>
      <c r="L311" s="718" t="s"/>
    </row>
    <row r="312" spans="1:12">
      <c r="A312" s="719" t="s">
        <v>1579</v>
      </c>
      <c r="B312" s="720" t="s">
        <v>2198</v>
      </c>
      <c r="C312" s="721" t="s">
        <v>2199</v>
      </c>
      <c r="D312" s="720" t="s">
        <v>1582</v>
      </c>
      <c r="E312" s="718" t="s"/>
      <c r="F312" s="718" t="s"/>
      <c r="G312" s="718" t="s"/>
      <c r="H312" s="718" t="s"/>
      <c r="I312" s="718" t="s"/>
      <c r="J312" s="718" t="s"/>
      <c r="K312" s="718" t="s"/>
      <c r="L312" s="718" t="s"/>
    </row>
    <row r="313" spans="1:12">
      <c r="A313" s="719" t="s">
        <v>1579</v>
      </c>
      <c r="B313" s="720" t="s">
        <v>2200</v>
      </c>
      <c r="C313" s="721" t="s">
        <v>2201</v>
      </c>
      <c r="D313" s="720" t="s">
        <v>1582</v>
      </c>
      <c r="E313" s="718" t="s"/>
      <c r="F313" s="718" t="s"/>
      <c r="G313" s="718" t="s"/>
      <c r="H313" s="718" t="s"/>
      <c r="I313" s="718" t="s"/>
      <c r="J313" s="718" t="s"/>
      <c r="K313" s="718" t="s"/>
      <c r="L313" s="718" t="s"/>
    </row>
    <row r="314" spans="1:12">
      <c r="A314" s="719" t="s">
        <v>1579</v>
      </c>
      <c r="B314" s="720" t="s">
        <v>2202</v>
      </c>
      <c r="C314" s="721" t="s">
        <v>2203</v>
      </c>
      <c r="D314" s="720" t="s">
        <v>1582</v>
      </c>
      <c r="E314" s="718" t="s"/>
      <c r="F314" s="718" t="s"/>
      <c r="G314" s="718" t="s"/>
      <c r="H314" s="718" t="s"/>
      <c r="I314" s="718" t="s"/>
      <c r="J314" s="718" t="s"/>
      <c r="K314" s="718" t="s"/>
      <c r="L314" s="718" t="s"/>
    </row>
    <row r="315" spans="1:12">
      <c r="A315" s="719" t="s">
        <v>1579</v>
      </c>
      <c r="B315" s="720" t="s">
        <v>2204</v>
      </c>
      <c r="C315" s="721" t="s">
        <v>2205</v>
      </c>
      <c r="D315" s="720" t="s">
        <v>1582</v>
      </c>
      <c r="E315" s="718" t="s"/>
      <c r="F315" s="718" t="s"/>
      <c r="G315" s="718" t="s"/>
      <c r="H315" s="718" t="s"/>
      <c r="I315" s="718" t="s"/>
      <c r="J315" s="718" t="s"/>
      <c r="K315" s="718" t="s"/>
      <c r="L315" s="718" t="s"/>
    </row>
    <row r="316" spans="1:12">
      <c r="A316" s="719" t="s">
        <v>1579</v>
      </c>
      <c r="B316" s="720" t="s">
        <v>2206</v>
      </c>
      <c r="C316" s="721" t="s">
        <v>2207</v>
      </c>
      <c r="D316" s="720" t="s">
        <v>1582</v>
      </c>
      <c r="E316" s="718" t="s"/>
      <c r="F316" s="718" t="s"/>
      <c r="G316" s="718" t="s"/>
      <c r="H316" s="718" t="s"/>
      <c r="I316" s="718" t="s"/>
      <c r="J316" s="718" t="s"/>
      <c r="K316" s="718" t="s"/>
      <c r="L316" s="718" t="s"/>
    </row>
    <row r="317" spans="1:12">
      <c r="A317" s="719" t="s">
        <v>1579</v>
      </c>
      <c r="B317" s="720" t="s">
        <v>2208</v>
      </c>
      <c r="C317" s="721" t="s">
        <v>2209</v>
      </c>
      <c r="D317" s="720" t="s">
        <v>1582</v>
      </c>
      <c r="E317" s="718" t="s"/>
      <c r="F317" s="718" t="s"/>
      <c r="G317" s="718" t="s"/>
      <c r="H317" s="718" t="s"/>
      <c r="I317" s="718" t="s"/>
      <c r="J317" s="718" t="s"/>
      <c r="K317" s="718" t="s"/>
      <c r="L317" s="718" t="s"/>
    </row>
    <row r="318" spans="1:12">
      <c r="A318" s="719" t="s">
        <v>1579</v>
      </c>
      <c r="B318" s="720" t="s">
        <v>2210</v>
      </c>
      <c r="C318" s="721" t="s">
        <v>2211</v>
      </c>
      <c r="D318" s="720" t="s">
        <v>1582</v>
      </c>
      <c r="E318" s="718" t="s"/>
      <c r="F318" s="718" t="s"/>
      <c r="G318" s="718" t="s"/>
      <c r="H318" s="718" t="s"/>
      <c r="I318" s="718" t="s"/>
      <c r="J318" s="718" t="s"/>
      <c r="K318" s="718" t="s"/>
      <c r="L318" s="718" t="s"/>
    </row>
    <row r="319" spans="1:12">
      <c r="A319" s="719" t="s">
        <v>1579</v>
      </c>
      <c r="B319" s="720" t="s">
        <v>2212</v>
      </c>
      <c r="C319" s="721" t="s">
        <v>2213</v>
      </c>
      <c r="D319" s="720" t="s">
        <v>1582</v>
      </c>
      <c r="E319" s="718" t="s"/>
      <c r="F319" s="718" t="s"/>
      <c r="G319" s="718" t="s"/>
      <c r="H319" s="718" t="s"/>
      <c r="I319" s="718" t="s"/>
      <c r="J319" s="718" t="s"/>
      <c r="K319" s="718" t="s"/>
      <c r="L319" s="718" t="s"/>
    </row>
    <row r="320" spans="1:12">
      <c r="A320" s="719" t="s">
        <v>1579</v>
      </c>
      <c r="B320" s="720" t="s">
        <v>2214</v>
      </c>
      <c r="C320" s="721" t="s">
        <v>2215</v>
      </c>
      <c r="D320" s="720" t="s">
        <v>1582</v>
      </c>
      <c r="E320" s="718" t="s"/>
      <c r="F320" s="718" t="s"/>
      <c r="G320" s="718" t="s"/>
      <c r="H320" s="718" t="s"/>
      <c r="I320" s="718" t="s"/>
      <c r="J320" s="718" t="s"/>
      <c r="K320" s="718" t="s"/>
      <c r="L320" s="718" t="s"/>
    </row>
    <row r="321" spans="1:12">
      <c r="A321" s="719" t="s">
        <v>1579</v>
      </c>
      <c r="B321" s="720" t="s">
        <v>2216</v>
      </c>
      <c r="C321" s="721" t="s">
        <v>2217</v>
      </c>
      <c r="D321" s="720" t="s">
        <v>1582</v>
      </c>
      <c r="E321" s="718" t="s"/>
      <c r="F321" s="718" t="s"/>
      <c r="G321" s="718" t="s"/>
      <c r="H321" s="718" t="s"/>
      <c r="I321" s="718" t="s"/>
      <c r="J321" s="718" t="s"/>
      <c r="K321" s="718" t="s"/>
      <c r="L321" s="718" t="s"/>
    </row>
    <row r="322" spans="1:12">
      <c r="A322" s="719" t="s">
        <v>1579</v>
      </c>
      <c r="B322" s="720" t="s">
        <v>2218</v>
      </c>
      <c r="C322" s="721" t="s">
        <v>2219</v>
      </c>
      <c r="D322" s="720" t="s">
        <v>1582</v>
      </c>
      <c r="E322" s="718" t="s"/>
      <c r="F322" s="718" t="s"/>
      <c r="G322" s="718" t="s"/>
      <c r="H322" s="718" t="s"/>
      <c r="I322" s="718" t="s"/>
      <c r="J322" s="718" t="s"/>
      <c r="K322" s="718" t="s"/>
      <c r="L322" s="718" t="s"/>
    </row>
    <row r="323" spans="1:12">
      <c r="A323" s="719" t="s">
        <v>1579</v>
      </c>
      <c r="B323" s="720" t="s">
        <v>2220</v>
      </c>
      <c r="C323" s="721" t="s">
        <v>2221</v>
      </c>
      <c r="D323" s="720" t="s">
        <v>1582</v>
      </c>
      <c r="E323" s="718" t="s"/>
      <c r="F323" s="718" t="s"/>
      <c r="G323" s="718" t="s"/>
      <c r="H323" s="718" t="s"/>
      <c r="I323" s="718" t="s"/>
      <c r="J323" s="718" t="s"/>
      <c r="K323" s="718" t="s"/>
      <c r="L323" s="718" t="s"/>
    </row>
    <row r="324" spans="1:12">
      <c r="A324" s="719" t="s">
        <v>1579</v>
      </c>
      <c r="B324" s="720" t="s">
        <v>2222</v>
      </c>
      <c r="C324" s="721" t="s">
        <v>2223</v>
      </c>
      <c r="D324" s="720" t="s">
        <v>1582</v>
      </c>
      <c r="E324" s="718" t="s"/>
      <c r="F324" s="718" t="s"/>
      <c r="G324" s="718" t="s"/>
      <c r="H324" s="718" t="s"/>
      <c r="I324" s="718" t="s"/>
      <c r="J324" s="718" t="s"/>
      <c r="K324" s="718" t="s"/>
      <c r="L324" s="718" t="s"/>
    </row>
    <row r="325" spans="1:12">
      <c r="A325" s="719" t="s">
        <v>1579</v>
      </c>
      <c r="B325" s="720" t="s">
        <v>2224</v>
      </c>
      <c r="C325" s="721" t="s">
        <v>2225</v>
      </c>
      <c r="D325" s="720" t="s">
        <v>1582</v>
      </c>
      <c r="E325" s="718" t="s"/>
      <c r="F325" s="718" t="s"/>
      <c r="G325" s="718" t="s"/>
      <c r="H325" s="718" t="s"/>
      <c r="I325" s="718" t="s"/>
      <c r="J325" s="718" t="s"/>
      <c r="K325" s="718" t="s"/>
      <c r="L325" s="718" t="s"/>
    </row>
    <row r="326" spans="1:12">
      <c r="A326" s="719" t="s">
        <v>1579</v>
      </c>
      <c r="B326" s="720" t="s">
        <v>2226</v>
      </c>
      <c r="C326" s="721" t="s">
        <v>2227</v>
      </c>
      <c r="D326" s="720" t="s">
        <v>1582</v>
      </c>
      <c r="E326" s="718" t="s"/>
      <c r="F326" s="718" t="s"/>
      <c r="G326" s="718" t="s"/>
      <c r="H326" s="718" t="s"/>
      <c r="I326" s="718" t="s"/>
      <c r="J326" s="718" t="s"/>
      <c r="K326" s="718" t="s"/>
      <c r="L326" s="718" t="s"/>
    </row>
    <row r="327" spans="1:12">
      <c r="A327" s="719" t="s">
        <v>1579</v>
      </c>
      <c r="B327" s="720" t="s">
        <v>2228</v>
      </c>
      <c r="C327" s="721" t="s">
        <v>2229</v>
      </c>
      <c r="D327" s="720" t="s">
        <v>1582</v>
      </c>
      <c r="E327" s="718" t="s"/>
      <c r="F327" s="718" t="s"/>
      <c r="G327" s="718" t="s"/>
      <c r="H327" s="718" t="s"/>
      <c r="I327" s="718" t="s"/>
      <c r="J327" s="718" t="s"/>
      <c r="K327" s="718" t="s"/>
      <c r="L327" s="718" t="s"/>
    </row>
    <row r="328" spans="1:12">
      <c r="A328" s="719" t="s">
        <v>1579</v>
      </c>
      <c r="B328" s="720" t="s">
        <v>2230</v>
      </c>
      <c r="C328" s="721" t="s">
        <v>2231</v>
      </c>
      <c r="D328" s="720" t="s">
        <v>1582</v>
      </c>
      <c r="E328" s="718" t="s"/>
      <c r="F328" s="718" t="s"/>
      <c r="G328" s="718" t="s"/>
      <c r="H328" s="718" t="s"/>
      <c r="I328" s="718" t="s"/>
      <c r="J328" s="718" t="s"/>
      <c r="K328" s="718" t="s"/>
      <c r="L328" s="718" t="s"/>
    </row>
    <row r="329" spans="1:12">
      <c r="A329" s="719" t="s">
        <v>1579</v>
      </c>
      <c r="B329" s="720" t="s">
        <v>2232</v>
      </c>
      <c r="C329" s="721" t="s">
        <v>2233</v>
      </c>
      <c r="D329" s="720" t="s">
        <v>1582</v>
      </c>
      <c r="E329" s="718" t="s"/>
      <c r="F329" s="718" t="s"/>
      <c r="G329" s="718" t="s"/>
      <c r="H329" s="718" t="s"/>
      <c r="I329" s="718" t="s"/>
      <c r="J329" s="718" t="s"/>
      <c r="K329" s="718" t="s"/>
      <c r="L329" s="718" t="s"/>
    </row>
    <row r="330" spans="1:12">
      <c r="A330" s="719" t="s">
        <v>1579</v>
      </c>
      <c r="B330" s="720" t="s">
        <v>2234</v>
      </c>
      <c r="C330" s="721" t="s">
        <v>2235</v>
      </c>
      <c r="D330" s="720" t="s">
        <v>1582</v>
      </c>
      <c r="E330" s="718" t="s"/>
      <c r="F330" s="718" t="s"/>
      <c r="G330" s="718" t="s"/>
      <c r="H330" s="718" t="s"/>
      <c r="I330" s="718" t="s"/>
      <c r="J330" s="718" t="s"/>
      <c r="K330" s="718" t="s"/>
      <c r="L330" s="718" t="s"/>
    </row>
    <row r="331" spans="1:12">
      <c r="A331" s="719" t="s">
        <v>1579</v>
      </c>
      <c r="B331" s="720" t="s">
        <v>2236</v>
      </c>
      <c r="C331" s="721" t="s">
        <v>2237</v>
      </c>
      <c r="D331" s="720" t="s">
        <v>1582</v>
      </c>
      <c r="E331" s="718" t="s"/>
      <c r="F331" s="718" t="s"/>
      <c r="G331" s="718" t="s"/>
      <c r="H331" s="718" t="s"/>
      <c r="I331" s="718" t="s"/>
      <c r="J331" s="718" t="s"/>
      <c r="K331" s="718" t="s"/>
      <c r="L331" s="718" t="s"/>
    </row>
    <row r="332" spans="1:12">
      <c r="A332" s="719" t="s">
        <v>1579</v>
      </c>
      <c r="B332" s="720" t="s">
        <v>2238</v>
      </c>
      <c r="C332" s="721" t="s">
        <v>2239</v>
      </c>
      <c r="D332" s="720" t="s">
        <v>1582</v>
      </c>
      <c r="E332" s="718" t="s"/>
      <c r="F332" s="718" t="s"/>
      <c r="G332" s="718" t="s"/>
      <c r="H332" s="718" t="s"/>
      <c r="I332" s="718" t="s"/>
      <c r="J332" s="718" t="s"/>
      <c r="K332" s="718" t="s"/>
      <c r="L332" s="718" t="s"/>
    </row>
    <row r="333" spans="1:12">
      <c r="A333" s="719" t="s">
        <v>1579</v>
      </c>
      <c r="B333" s="720" t="s">
        <v>2240</v>
      </c>
      <c r="C333" s="721" t="s">
        <v>2241</v>
      </c>
      <c r="D333" s="720" t="s">
        <v>894</v>
      </c>
      <c r="E333" s="718" t="s"/>
      <c r="F333" s="718" t="s"/>
      <c r="G333" s="718" t="s"/>
      <c r="H333" s="718" t="s"/>
      <c r="I333" s="718" t="s"/>
      <c r="J333" s="718" t="s"/>
      <c r="K333" s="718" t="s"/>
      <c r="L333" s="718" t="s"/>
    </row>
    <row r="334" spans="1:12">
      <c r="A334" s="719" t="s">
        <v>1579</v>
      </c>
      <c r="B334" s="720" t="s">
        <v>2242</v>
      </c>
      <c r="C334" s="721" t="s">
        <v>2243</v>
      </c>
      <c r="D334" s="720" t="s">
        <v>894</v>
      </c>
      <c r="E334" s="718" t="s"/>
      <c r="F334" s="718" t="s"/>
      <c r="G334" s="718" t="s"/>
      <c r="H334" s="718" t="s"/>
      <c r="I334" s="718" t="s"/>
      <c r="J334" s="718" t="s"/>
      <c r="K334" s="718" t="s"/>
      <c r="L334" s="718" t="s"/>
    </row>
    <row r="335" spans="1:12">
      <c r="A335" s="719" t="s">
        <v>1579</v>
      </c>
      <c r="B335" s="720" t="s">
        <v>2244</v>
      </c>
      <c r="C335" s="721" t="s">
        <v>2245</v>
      </c>
      <c r="D335" s="720" t="s">
        <v>894</v>
      </c>
      <c r="E335" s="718" t="s"/>
      <c r="F335" s="718" t="s"/>
      <c r="G335" s="718" t="s"/>
      <c r="H335" s="718" t="s"/>
      <c r="I335" s="718" t="s"/>
      <c r="J335" s="718" t="s"/>
      <c r="K335" s="718" t="s"/>
      <c r="L335" s="718" t="s"/>
    </row>
    <row r="336" spans="1:12">
      <c r="A336" s="719" t="s">
        <v>1579</v>
      </c>
      <c r="B336" s="720" t="s">
        <v>2246</v>
      </c>
      <c r="C336" s="721" t="s">
        <v>2247</v>
      </c>
      <c r="D336" s="720" t="s">
        <v>894</v>
      </c>
      <c r="E336" s="718" t="s"/>
      <c r="F336" s="718" t="s"/>
      <c r="G336" s="718" t="s"/>
      <c r="H336" s="718" t="s"/>
      <c r="I336" s="718" t="s"/>
      <c r="J336" s="718" t="s"/>
      <c r="K336" s="718" t="s"/>
      <c r="L336" s="718" t="s"/>
    </row>
    <row r="337" spans="1:12">
      <c r="A337" s="719" t="s">
        <v>1579</v>
      </c>
      <c r="B337" s="720" t="s">
        <v>2248</v>
      </c>
      <c r="C337" s="721" t="s">
        <v>2249</v>
      </c>
      <c r="D337" s="720" t="s">
        <v>894</v>
      </c>
      <c r="E337" s="718" t="s"/>
      <c r="F337" s="718" t="s"/>
      <c r="G337" s="718" t="s"/>
      <c r="H337" s="718" t="s"/>
      <c r="I337" s="718" t="s"/>
      <c r="J337" s="718" t="s"/>
      <c r="K337" s="718" t="s"/>
      <c r="L337" s="718" t="s"/>
    </row>
    <row r="338" spans="1:12">
      <c r="A338" s="719" t="s">
        <v>1579</v>
      </c>
      <c r="B338" s="720" t="s">
        <v>2250</v>
      </c>
      <c r="C338" s="721" t="s">
        <v>2251</v>
      </c>
      <c r="D338" s="720" t="s">
        <v>894</v>
      </c>
      <c r="E338" s="718" t="s"/>
      <c r="F338" s="718" t="s"/>
      <c r="G338" s="718" t="s"/>
      <c r="H338" s="718" t="s"/>
      <c r="I338" s="718" t="s"/>
      <c r="J338" s="718" t="s"/>
      <c r="K338" s="718" t="s"/>
      <c r="L338" s="718" t="s"/>
    </row>
    <row r="339" spans="1:12">
      <c r="A339" s="719" t="s">
        <v>1579</v>
      </c>
      <c r="B339" s="720" t="s">
        <v>2252</v>
      </c>
      <c r="C339" s="721" t="s">
        <v>2253</v>
      </c>
      <c r="D339" s="720" t="s">
        <v>894</v>
      </c>
      <c r="E339" s="718" t="s"/>
      <c r="F339" s="718" t="s"/>
      <c r="G339" s="718" t="s"/>
      <c r="H339" s="718" t="s"/>
      <c r="I339" s="718" t="s"/>
      <c r="J339" s="718" t="s"/>
      <c r="K339" s="718" t="s"/>
      <c r="L339" s="718" t="s"/>
    </row>
    <row r="340" spans="1:12">
      <c r="A340" s="719" t="s">
        <v>1579</v>
      </c>
      <c r="B340" s="720" t="s">
        <v>2254</v>
      </c>
      <c r="C340" s="721" t="s">
        <v>2255</v>
      </c>
      <c r="D340" s="720" t="s">
        <v>894</v>
      </c>
      <c r="E340" s="718" t="s"/>
      <c r="F340" s="718" t="s"/>
      <c r="G340" s="718" t="s"/>
      <c r="H340" s="718" t="s"/>
      <c r="I340" s="718" t="s"/>
      <c r="J340" s="718" t="s"/>
      <c r="K340" s="718" t="s"/>
      <c r="L340" s="718" t="s"/>
    </row>
    <row r="341" spans="1:12">
      <c r="A341" s="719" t="s">
        <v>1579</v>
      </c>
      <c r="B341" s="720" t="s">
        <v>2256</v>
      </c>
      <c r="C341" s="721" t="s">
        <v>2257</v>
      </c>
      <c r="D341" s="720" t="s">
        <v>894</v>
      </c>
      <c r="E341" s="718" t="s"/>
      <c r="F341" s="718" t="s"/>
      <c r="G341" s="718" t="s"/>
      <c r="H341" s="718" t="s"/>
      <c r="I341" s="718" t="s"/>
      <c r="J341" s="718" t="s"/>
      <c r="K341" s="718" t="s"/>
      <c r="L341" s="718" t="s"/>
    </row>
    <row r="342" spans="1:12">
      <c r="A342" s="719" t="s">
        <v>1579</v>
      </c>
      <c r="B342" s="720" t="s">
        <v>2258</v>
      </c>
      <c r="C342" s="721" t="s">
        <v>2259</v>
      </c>
      <c r="D342" s="720" t="s">
        <v>894</v>
      </c>
      <c r="E342" s="718" t="s"/>
      <c r="F342" s="718" t="s"/>
      <c r="G342" s="718" t="s"/>
      <c r="H342" s="718" t="s"/>
      <c r="I342" s="718" t="s"/>
      <c r="J342" s="718" t="s"/>
      <c r="K342" s="718" t="s"/>
      <c r="L342" s="718" t="s"/>
    </row>
    <row r="343" spans="1:12">
      <c r="A343" s="719" t="s">
        <v>1579</v>
      </c>
      <c r="B343" s="720" t="s">
        <v>2260</v>
      </c>
      <c r="C343" s="721" t="s">
        <v>2261</v>
      </c>
      <c r="D343" s="720" t="s">
        <v>894</v>
      </c>
      <c r="E343" s="718" t="s"/>
      <c r="F343" s="718" t="s"/>
      <c r="G343" s="718" t="s"/>
      <c r="H343" s="718" t="s"/>
      <c r="I343" s="718" t="s"/>
      <c r="J343" s="718" t="s"/>
      <c r="K343" s="718" t="s"/>
      <c r="L343" s="718" t="s"/>
    </row>
    <row r="344" spans="1:12">
      <c r="A344" s="719" t="s">
        <v>1579</v>
      </c>
      <c r="B344" s="720" t="s">
        <v>2262</v>
      </c>
      <c r="C344" s="721" t="s">
        <v>2263</v>
      </c>
      <c r="D344" s="720" t="s">
        <v>894</v>
      </c>
      <c r="E344" s="718" t="s"/>
      <c r="F344" s="718" t="s"/>
      <c r="G344" s="718" t="s"/>
      <c r="H344" s="718" t="s"/>
      <c r="I344" s="718" t="s"/>
      <c r="J344" s="718" t="s"/>
      <c r="K344" s="718" t="s"/>
      <c r="L344" s="718" t="s"/>
    </row>
    <row r="345" spans="1:12">
      <c r="A345" s="719" t="s">
        <v>1579</v>
      </c>
      <c r="B345" s="720" t="s">
        <v>2264</v>
      </c>
      <c r="C345" s="721" t="s">
        <v>2265</v>
      </c>
      <c r="D345" s="720" t="s">
        <v>894</v>
      </c>
      <c r="E345" s="718" t="s"/>
      <c r="F345" s="718" t="s"/>
      <c r="G345" s="718" t="s"/>
      <c r="H345" s="718" t="s"/>
      <c r="I345" s="718" t="s"/>
      <c r="J345" s="718" t="s"/>
      <c r="K345" s="718" t="s"/>
      <c r="L345" s="718" t="s"/>
    </row>
    <row r="346" spans="1:12">
      <c r="A346" s="719" t="s">
        <v>1579</v>
      </c>
      <c r="B346" s="720" t="s">
        <v>2266</v>
      </c>
      <c r="C346" s="721" t="s">
        <v>2267</v>
      </c>
      <c r="D346" s="720" t="s">
        <v>894</v>
      </c>
      <c r="E346" s="718" t="s"/>
      <c r="F346" s="718" t="s"/>
      <c r="G346" s="718" t="s"/>
      <c r="H346" s="718" t="s"/>
      <c r="I346" s="718" t="s"/>
      <c r="J346" s="718" t="s"/>
      <c r="K346" s="718" t="s"/>
      <c r="L346" s="718" t="s"/>
    </row>
    <row r="347" spans="1:12">
      <c r="A347" s="719" t="s">
        <v>1579</v>
      </c>
      <c r="B347" s="720" t="s">
        <v>2268</v>
      </c>
      <c r="C347" s="721" t="s">
        <v>2269</v>
      </c>
      <c r="D347" s="720" t="s">
        <v>894</v>
      </c>
      <c r="E347" s="718" t="s"/>
      <c r="F347" s="718" t="s"/>
      <c r="G347" s="718" t="s"/>
      <c r="H347" s="718" t="s"/>
      <c r="I347" s="718" t="s"/>
      <c r="J347" s="718" t="s"/>
      <c r="K347" s="718" t="s"/>
      <c r="L347" s="718" t="s"/>
    </row>
    <row r="348" spans="1:12">
      <c r="A348" s="719" t="s">
        <v>1579</v>
      </c>
      <c r="B348" s="720" t="s">
        <v>2270</v>
      </c>
      <c r="C348" s="721" t="s">
        <v>2271</v>
      </c>
      <c r="D348" s="720" t="s">
        <v>894</v>
      </c>
      <c r="E348" s="718" t="s"/>
      <c r="F348" s="718" t="s"/>
      <c r="G348" s="718" t="s"/>
      <c r="H348" s="718" t="s"/>
      <c r="I348" s="718" t="s"/>
      <c r="J348" s="718" t="s"/>
      <c r="K348" s="718" t="s"/>
      <c r="L348" s="718" t="s"/>
    </row>
    <row r="349" spans="1:12">
      <c r="A349" s="719" t="s">
        <v>1579</v>
      </c>
      <c r="B349" s="720" t="s">
        <v>2272</v>
      </c>
      <c r="C349" s="721" t="s">
        <v>2273</v>
      </c>
      <c r="D349" s="720" t="s">
        <v>894</v>
      </c>
      <c r="E349" s="718" t="s"/>
      <c r="F349" s="718" t="s"/>
      <c r="G349" s="718" t="s"/>
      <c r="H349" s="718" t="s"/>
      <c r="I349" s="718" t="s"/>
      <c r="J349" s="718" t="s"/>
      <c r="K349" s="718" t="s"/>
      <c r="L349" s="718" t="s"/>
    </row>
    <row r="350" spans="1:12">
      <c r="A350" s="719" t="s">
        <v>1579</v>
      </c>
      <c r="B350" s="720" t="s">
        <v>2274</v>
      </c>
      <c r="C350" s="721" t="s">
        <v>2275</v>
      </c>
      <c r="D350" s="720" t="s">
        <v>894</v>
      </c>
      <c r="E350" s="718" t="s"/>
      <c r="F350" s="718" t="s"/>
      <c r="G350" s="718" t="s"/>
      <c r="H350" s="718" t="s"/>
      <c r="I350" s="718" t="s"/>
      <c r="J350" s="718" t="s"/>
      <c r="K350" s="718" t="s"/>
      <c r="L350" s="718" t="s"/>
    </row>
    <row r="351" spans="1:12">
      <c r="A351" s="719" t="s">
        <v>1579</v>
      </c>
      <c r="B351" s="720" t="s">
        <v>2276</v>
      </c>
      <c r="C351" s="721" t="s">
        <v>2277</v>
      </c>
      <c r="D351" s="720" t="s">
        <v>894</v>
      </c>
      <c r="E351" s="718" t="s"/>
      <c r="F351" s="718" t="s"/>
      <c r="G351" s="718" t="s"/>
      <c r="H351" s="718" t="s"/>
      <c r="I351" s="718" t="s"/>
      <c r="J351" s="718" t="s"/>
      <c r="K351" s="718" t="s"/>
      <c r="L351" s="718" t="s"/>
    </row>
    <row r="352" spans="1:12">
      <c r="A352" s="719" t="s">
        <v>1579</v>
      </c>
      <c r="B352" s="720" t="s">
        <v>2278</v>
      </c>
      <c r="C352" s="721" t="s">
        <v>2279</v>
      </c>
      <c r="D352" s="720" t="s">
        <v>894</v>
      </c>
      <c r="E352" s="718" t="s"/>
      <c r="F352" s="718" t="s"/>
      <c r="G352" s="718" t="s"/>
      <c r="H352" s="718" t="s"/>
      <c r="I352" s="718" t="s"/>
      <c r="J352" s="718" t="s"/>
      <c r="K352" s="718" t="s"/>
      <c r="L352" s="718" t="s"/>
    </row>
    <row r="353" spans="1:12">
      <c r="A353" s="719" t="s">
        <v>1579</v>
      </c>
      <c r="B353" s="720" t="s">
        <v>2280</v>
      </c>
      <c r="C353" s="721" t="s">
        <v>2281</v>
      </c>
      <c r="D353" s="720" t="s">
        <v>894</v>
      </c>
      <c r="E353" s="718" t="s"/>
      <c r="F353" s="718" t="s"/>
      <c r="G353" s="718" t="s"/>
      <c r="H353" s="718" t="s"/>
      <c r="I353" s="718" t="s"/>
      <c r="J353" s="718" t="s"/>
      <c r="K353" s="718" t="s"/>
      <c r="L353" s="718" t="s"/>
    </row>
    <row r="354" spans="1:12">
      <c r="A354" s="719" t="s">
        <v>1579</v>
      </c>
      <c r="B354" s="720" t="s">
        <v>2282</v>
      </c>
      <c r="C354" s="721" t="s">
        <v>2283</v>
      </c>
      <c r="D354" s="720" t="s">
        <v>894</v>
      </c>
      <c r="E354" s="718" t="s"/>
      <c r="F354" s="718" t="s"/>
      <c r="G354" s="718" t="s"/>
      <c r="H354" s="718" t="s"/>
      <c r="I354" s="718" t="s"/>
      <c r="J354" s="718" t="s"/>
      <c r="K354" s="718" t="s"/>
      <c r="L354" s="718" t="s"/>
    </row>
    <row r="355" spans="1:12">
      <c r="A355" s="719" t="s">
        <v>1579</v>
      </c>
      <c r="B355" s="720" t="s">
        <v>2284</v>
      </c>
      <c r="C355" s="721" t="s">
        <v>2285</v>
      </c>
      <c r="D355" s="720" t="s">
        <v>894</v>
      </c>
      <c r="E355" s="718" t="s"/>
      <c r="F355" s="718" t="s"/>
      <c r="G355" s="718" t="s"/>
      <c r="H355" s="718" t="s"/>
      <c r="I355" s="718" t="s"/>
      <c r="J355" s="718" t="s"/>
      <c r="K355" s="718" t="s"/>
      <c r="L355" s="718" t="s"/>
    </row>
    <row r="356" spans="1:12">
      <c r="A356" s="719" t="s">
        <v>1579</v>
      </c>
      <c r="B356" s="720" t="s">
        <v>2286</v>
      </c>
      <c r="C356" s="721" t="s">
        <v>2287</v>
      </c>
      <c r="D356" s="720" t="s">
        <v>894</v>
      </c>
      <c r="E356" s="718" t="s"/>
      <c r="F356" s="718" t="s"/>
      <c r="G356" s="718" t="s"/>
      <c r="H356" s="718" t="s"/>
      <c r="I356" s="718" t="s"/>
      <c r="J356" s="718" t="s"/>
      <c r="K356" s="718" t="s"/>
      <c r="L356" s="718" t="s"/>
    </row>
    <row r="357" spans="1:12">
      <c r="A357" s="719" t="s">
        <v>1579</v>
      </c>
      <c r="B357" s="720" t="s">
        <v>2288</v>
      </c>
      <c r="C357" s="721" t="s">
        <v>2289</v>
      </c>
      <c r="D357" s="720" t="s">
        <v>894</v>
      </c>
      <c r="E357" s="718" t="s"/>
      <c r="F357" s="718" t="s"/>
      <c r="G357" s="718" t="s"/>
      <c r="H357" s="718" t="s"/>
      <c r="I357" s="718" t="s"/>
      <c r="J357" s="718" t="s"/>
      <c r="K357" s="718" t="s"/>
      <c r="L357" s="718" t="s"/>
    </row>
    <row r="358" spans="1:12">
      <c r="A358" s="719" t="s">
        <v>1579</v>
      </c>
      <c r="B358" s="720" t="s">
        <v>2290</v>
      </c>
      <c r="C358" s="721" t="s">
        <v>2291</v>
      </c>
      <c r="D358" s="720" t="s">
        <v>894</v>
      </c>
      <c r="E358" s="718" t="s"/>
      <c r="F358" s="718" t="s"/>
      <c r="G358" s="718" t="s"/>
      <c r="H358" s="718" t="s"/>
      <c r="I358" s="718" t="s"/>
      <c r="J358" s="718" t="s"/>
      <c r="K358" s="718" t="s"/>
      <c r="L358" s="718" t="s"/>
    </row>
    <row r="359" spans="1:12">
      <c r="A359" s="719" t="s">
        <v>1579</v>
      </c>
      <c r="B359" s="720" t="s">
        <v>2292</v>
      </c>
      <c r="C359" s="721" t="s">
        <v>2293</v>
      </c>
      <c r="D359" s="720" t="s">
        <v>894</v>
      </c>
      <c r="E359" s="718" t="s"/>
      <c r="F359" s="718" t="s"/>
      <c r="G359" s="718" t="s"/>
      <c r="H359" s="718" t="s"/>
      <c r="I359" s="718" t="s"/>
      <c r="J359" s="718" t="s"/>
      <c r="K359" s="718" t="s"/>
      <c r="L359" s="718" t="s"/>
    </row>
    <row r="360" spans="1:12">
      <c r="A360" s="719" t="s">
        <v>1579</v>
      </c>
      <c r="B360" s="720" t="s">
        <v>2294</v>
      </c>
      <c r="C360" s="721" t="s">
        <v>2295</v>
      </c>
      <c r="D360" s="720" t="s">
        <v>894</v>
      </c>
      <c r="E360" s="718" t="s"/>
      <c r="F360" s="718" t="s"/>
      <c r="G360" s="718" t="s"/>
      <c r="H360" s="718" t="s"/>
      <c r="I360" s="718" t="s"/>
      <c r="J360" s="718" t="s"/>
      <c r="K360" s="718" t="s"/>
      <c r="L360" s="718" t="s"/>
    </row>
    <row r="361" spans="1:12">
      <c r="A361" s="719" t="s">
        <v>1579</v>
      </c>
      <c r="B361" s="720" t="s">
        <v>2296</v>
      </c>
      <c r="C361" s="721" t="s">
        <v>2297</v>
      </c>
      <c r="D361" s="720" t="s">
        <v>894</v>
      </c>
      <c r="E361" s="718" t="s"/>
      <c r="F361" s="718" t="s"/>
      <c r="G361" s="718" t="s"/>
      <c r="H361" s="718" t="s"/>
      <c r="I361" s="718" t="s"/>
      <c r="J361" s="718" t="s"/>
      <c r="K361" s="718" t="s"/>
      <c r="L361" s="718" t="s"/>
    </row>
    <row r="362" spans="1:12">
      <c r="A362" s="719" t="s">
        <v>1579</v>
      </c>
      <c r="B362" s="720" t="s">
        <v>2298</v>
      </c>
      <c r="C362" s="721" t="s">
        <v>2299</v>
      </c>
      <c r="D362" s="720" t="s">
        <v>894</v>
      </c>
      <c r="E362" s="718" t="s"/>
      <c r="F362" s="718" t="s"/>
      <c r="G362" s="718" t="s"/>
      <c r="H362" s="718" t="s"/>
      <c r="I362" s="718" t="s"/>
      <c r="J362" s="718" t="s"/>
      <c r="K362" s="718" t="s"/>
      <c r="L362" s="718" t="s"/>
    </row>
    <row r="363" spans="1:12">
      <c r="A363" s="719" t="s">
        <v>1579</v>
      </c>
      <c r="B363" s="720" t="s">
        <v>2300</v>
      </c>
      <c r="C363" s="721" t="s">
        <v>2301</v>
      </c>
      <c r="D363" s="720" t="s">
        <v>894</v>
      </c>
      <c r="E363" s="718" t="s"/>
      <c r="F363" s="718" t="s"/>
      <c r="G363" s="718" t="s"/>
      <c r="H363" s="718" t="s"/>
      <c r="I363" s="718" t="s"/>
      <c r="J363" s="718" t="s"/>
      <c r="K363" s="718" t="s"/>
      <c r="L363" s="718" t="s"/>
    </row>
    <row r="364" spans="1:12">
      <c r="A364" s="719" t="s">
        <v>1579</v>
      </c>
      <c r="B364" s="720" t="s">
        <v>2302</v>
      </c>
      <c r="C364" s="721" t="s">
        <v>2303</v>
      </c>
      <c r="D364" s="720" t="s">
        <v>894</v>
      </c>
      <c r="E364" s="718" t="s"/>
      <c r="F364" s="718" t="s"/>
      <c r="G364" s="718" t="s"/>
      <c r="H364" s="718" t="s"/>
      <c r="I364" s="718" t="s"/>
      <c r="J364" s="718" t="s"/>
      <c r="K364" s="718" t="s"/>
      <c r="L364" s="718" t="s"/>
    </row>
    <row r="365" spans="1:12">
      <c r="A365" s="719" t="s">
        <v>1579</v>
      </c>
      <c r="B365" s="720" t="s">
        <v>2304</v>
      </c>
      <c r="C365" s="721" t="s">
        <v>2305</v>
      </c>
      <c r="D365" s="720" t="s">
        <v>894</v>
      </c>
      <c r="E365" s="718" t="s"/>
      <c r="F365" s="718" t="s"/>
      <c r="G365" s="718" t="s"/>
      <c r="H365" s="718" t="s"/>
      <c r="I365" s="718" t="s"/>
      <c r="J365" s="718" t="s"/>
      <c r="K365" s="718" t="s"/>
      <c r="L365" s="718" t="s"/>
    </row>
    <row r="366" spans="1:12">
      <c r="A366" s="719" t="s">
        <v>1579</v>
      </c>
      <c r="B366" s="720" t="s">
        <v>2306</v>
      </c>
      <c r="C366" s="721" t="s">
        <v>2307</v>
      </c>
      <c r="D366" s="720" t="s">
        <v>894</v>
      </c>
      <c r="E366" s="718" t="s"/>
      <c r="F366" s="718" t="s"/>
      <c r="G366" s="718" t="s"/>
      <c r="H366" s="718" t="s"/>
      <c r="I366" s="718" t="s"/>
      <c r="J366" s="718" t="s"/>
      <c r="K366" s="718" t="s"/>
      <c r="L366" s="718" t="s"/>
    </row>
    <row r="367" spans="1:12">
      <c r="A367" s="719" t="s">
        <v>1579</v>
      </c>
      <c r="B367" s="720" t="s">
        <v>2308</v>
      </c>
      <c r="C367" s="721" t="s">
        <v>2309</v>
      </c>
      <c r="D367" s="720" t="s">
        <v>894</v>
      </c>
      <c r="E367" s="718" t="s"/>
      <c r="F367" s="718" t="s"/>
      <c r="G367" s="718" t="s"/>
      <c r="H367" s="718" t="s"/>
      <c r="I367" s="718" t="s"/>
      <c r="J367" s="718" t="s"/>
      <c r="K367" s="718" t="s"/>
      <c r="L367" s="718" t="s"/>
    </row>
    <row r="368" spans="1:12">
      <c r="A368" s="719" t="s">
        <v>1579</v>
      </c>
      <c r="B368" s="720" t="s">
        <v>2310</v>
      </c>
      <c r="C368" s="721" t="s">
        <v>2311</v>
      </c>
      <c r="D368" s="720" t="s">
        <v>894</v>
      </c>
      <c r="E368" s="718" t="s"/>
      <c r="F368" s="718" t="s"/>
      <c r="G368" s="718" t="s"/>
      <c r="H368" s="718" t="s"/>
      <c r="I368" s="718" t="s"/>
      <c r="J368" s="718" t="s"/>
      <c r="K368" s="718" t="s"/>
      <c r="L368" s="718" t="s"/>
    </row>
    <row r="369" spans="1:12">
      <c r="A369" s="719" t="s">
        <v>1579</v>
      </c>
      <c r="B369" s="720" t="s">
        <v>2312</v>
      </c>
      <c r="C369" s="721" t="s">
        <v>2313</v>
      </c>
      <c r="D369" s="720" t="s">
        <v>894</v>
      </c>
      <c r="E369" s="718" t="s"/>
      <c r="F369" s="718" t="s"/>
      <c r="G369" s="718" t="s"/>
      <c r="H369" s="718" t="s"/>
      <c r="I369" s="718" t="s"/>
      <c r="J369" s="718" t="s"/>
      <c r="K369" s="718" t="s"/>
      <c r="L369" s="718" t="s"/>
    </row>
    <row r="370" spans="1:12">
      <c r="A370" s="719" t="s">
        <v>1579</v>
      </c>
      <c r="B370" s="720" t="s">
        <v>2314</v>
      </c>
      <c r="C370" s="721" t="s">
        <v>2315</v>
      </c>
      <c r="D370" s="720" t="s">
        <v>894</v>
      </c>
      <c r="E370" s="718" t="s"/>
      <c r="F370" s="718" t="s"/>
      <c r="G370" s="718" t="s"/>
      <c r="H370" s="718" t="s"/>
      <c r="I370" s="718" t="s"/>
      <c r="J370" s="718" t="s"/>
      <c r="K370" s="718" t="s"/>
      <c r="L370" s="718" t="s"/>
    </row>
    <row r="371" spans="1:12">
      <c r="A371" s="719" t="s">
        <v>1579</v>
      </c>
      <c r="B371" s="720" t="s">
        <v>2316</v>
      </c>
      <c r="C371" s="721" t="s">
        <v>2317</v>
      </c>
      <c r="D371" s="720" t="s">
        <v>894</v>
      </c>
      <c r="E371" s="718" t="s"/>
      <c r="F371" s="718" t="s"/>
      <c r="G371" s="718" t="s"/>
      <c r="H371" s="718" t="s"/>
      <c r="I371" s="718" t="s"/>
      <c r="J371" s="718" t="s"/>
      <c r="K371" s="718" t="s"/>
      <c r="L371" s="718" t="s"/>
    </row>
    <row r="372" spans="1:12">
      <c r="A372" s="719" t="s">
        <v>1579</v>
      </c>
      <c r="B372" s="720" t="s">
        <v>2318</v>
      </c>
      <c r="C372" s="721" t="s">
        <v>2319</v>
      </c>
      <c r="D372" s="720" t="s">
        <v>894</v>
      </c>
      <c r="E372" s="718" t="s"/>
      <c r="F372" s="718" t="s"/>
      <c r="G372" s="718" t="s"/>
      <c r="H372" s="718" t="s"/>
      <c r="I372" s="718" t="s"/>
      <c r="J372" s="718" t="s"/>
      <c r="K372" s="718" t="s"/>
      <c r="L372" s="718" t="s"/>
    </row>
    <row r="373" spans="1:12">
      <c r="A373" s="719" t="s">
        <v>1579</v>
      </c>
      <c r="B373" s="720" t="s">
        <v>2320</v>
      </c>
      <c r="C373" s="721" t="s">
        <v>2321</v>
      </c>
      <c r="D373" s="720" t="s">
        <v>894</v>
      </c>
      <c r="E373" s="718" t="s"/>
      <c r="F373" s="718" t="s"/>
      <c r="G373" s="718" t="s"/>
      <c r="H373" s="718" t="s"/>
      <c r="I373" s="718" t="s"/>
      <c r="J373" s="718" t="s"/>
      <c r="K373" s="718" t="s"/>
      <c r="L373" s="718" t="s"/>
    </row>
    <row r="374" spans="1:12">
      <c r="A374" s="719" t="s">
        <v>1579</v>
      </c>
      <c r="B374" s="720" t="s">
        <v>2322</v>
      </c>
      <c r="C374" s="721" t="s">
        <v>2323</v>
      </c>
      <c r="D374" s="720" t="s">
        <v>894</v>
      </c>
      <c r="E374" s="718" t="s"/>
      <c r="F374" s="718" t="s"/>
      <c r="G374" s="718" t="s"/>
      <c r="H374" s="718" t="s"/>
      <c r="I374" s="718" t="s"/>
      <c r="J374" s="718" t="s"/>
      <c r="K374" s="718" t="s"/>
      <c r="L374" s="718" t="s"/>
    </row>
    <row r="375" spans="1:12">
      <c r="A375" s="719" t="s">
        <v>1579</v>
      </c>
      <c r="B375" s="720" t="s">
        <v>2324</v>
      </c>
      <c r="C375" s="721" t="s">
        <v>2325</v>
      </c>
      <c r="D375" s="720" t="s">
        <v>894</v>
      </c>
      <c r="E375" s="718" t="s"/>
      <c r="F375" s="718" t="s"/>
      <c r="G375" s="718" t="s"/>
      <c r="H375" s="718" t="s"/>
      <c r="I375" s="718" t="s"/>
      <c r="J375" s="718" t="s"/>
      <c r="K375" s="718" t="s"/>
      <c r="L375" s="718" t="s"/>
    </row>
    <row r="376" spans="1:12">
      <c r="A376" s="719" t="s">
        <v>1579</v>
      </c>
      <c r="B376" s="720" t="s">
        <v>2326</v>
      </c>
      <c r="C376" s="721" t="s">
        <v>2327</v>
      </c>
      <c r="D376" s="720" t="s">
        <v>894</v>
      </c>
      <c r="E376" s="718" t="s"/>
      <c r="F376" s="718" t="s"/>
      <c r="G376" s="718" t="s"/>
      <c r="H376" s="718" t="s"/>
      <c r="I376" s="718" t="s"/>
      <c r="J376" s="718" t="s"/>
      <c r="K376" s="718" t="s"/>
      <c r="L376" s="718" t="s"/>
    </row>
    <row r="377" spans="1:12">
      <c r="A377" s="719" t="s">
        <v>1579</v>
      </c>
      <c r="B377" s="720" t="s">
        <v>2328</v>
      </c>
      <c r="C377" s="721" t="s">
        <v>2329</v>
      </c>
      <c r="D377" s="720" t="s">
        <v>894</v>
      </c>
      <c r="E377" s="718" t="s"/>
      <c r="F377" s="718" t="s"/>
      <c r="G377" s="718" t="s"/>
      <c r="H377" s="718" t="s"/>
      <c r="I377" s="718" t="s"/>
      <c r="J377" s="718" t="s"/>
      <c r="K377" s="718" t="s"/>
      <c r="L377" s="718" t="s"/>
    </row>
    <row r="378" spans="1:12">
      <c r="A378" s="719" t="s">
        <v>1579</v>
      </c>
      <c r="B378" s="720" t="s">
        <v>2330</v>
      </c>
      <c r="C378" s="721" t="s">
        <v>2331</v>
      </c>
      <c r="D378" s="720" t="s">
        <v>894</v>
      </c>
      <c r="E378" s="718" t="s"/>
      <c r="F378" s="718" t="s"/>
      <c r="G378" s="718" t="s"/>
      <c r="H378" s="718" t="s"/>
      <c r="I378" s="718" t="s"/>
      <c r="J378" s="718" t="s"/>
      <c r="K378" s="718" t="s"/>
      <c r="L378" s="718" t="s"/>
    </row>
    <row r="379" spans="1:12">
      <c r="A379" s="719" t="s">
        <v>1579</v>
      </c>
      <c r="B379" s="720" t="s">
        <v>2332</v>
      </c>
      <c r="C379" s="721" t="s">
        <v>2333</v>
      </c>
      <c r="D379" s="720" t="s">
        <v>894</v>
      </c>
      <c r="E379" s="718" t="s"/>
      <c r="F379" s="718" t="s"/>
      <c r="G379" s="718" t="s"/>
      <c r="H379" s="718" t="s"/>
      <c r="I379" s="718" t="s"/>
      <c r="J379" s="718" t="s"/>
      <c r="K379" s="718" t="s"/>
      <c r="L379" s="718" t="s"/>
    </row>
    <row r="380" spans="1:12">
      <c r="A380" s="719" t="s">
        <v>1579</v>
      </c>
      <c r="B380" s="720" t="s">
        <v>2334</v>
      </c>
      <c r="C380" s="721" t="s">
        <v>2335</v>
      </c>
      <c r="D380" s="720" t="s">
        <v>894</v>
      </c>
      <c r="E380" s="718" t="s"/>
      <c r="F380" s="718" t="s"/>
      <c r="G380" s="718" t="s"/>
      <c r="H380" s="718" t="s"/>
      <c r="I380" s="718" t="s"/>
      <c r="J380" s="718" t="s"/>
      <c r="K380" s="718" t="s"/>
      <c r="L380" s="718" t="s"/>
    </row>
    <row r="381" spans="1:12">
      <c r="A381" s="719" t="s">
        <v>1579</v>
      </c>
      <c r="B381" s="720" t="s">
        <v>2336</v>
      </c>
      <c r="C381" s="721" t="s">
        <v>2337</v>
      </c>
      <c r="D381" s="720" t="s">
        <v>894</v>
      </c>
      <c r="E381" s="718" t="s"/>
      <c r="F381" s="718" t="s"/>
      <c r="G381" s="718" t="s"/>
      <c r="H381" s="718" t="s"/>
      <c r="I381" s="718" t="s"/>
      <c r="J381" s="718" t="s"/>
      <c r="K381" s="718" t="s"/>
      <c r="L381" s="718" t="s"/>
    </row>
    <row r="382" spans="1:12">
      <c r="A382" s="719" t="s">
        <v>1579</v>
      </c>
      <c r="B382" s="720" t="s">
        <v>2338</v>
      </c>
      <c r="C382" s="721" t="s">
        <v>2339</v>
      </c>
      <c r="D382" s="720" t="s">
        <v>894</v>
      </c>
      <c r="E382" s="718" t="s"/>
      <c r="F382" s="718" t="s"/>
      <c r="G382" s="718" t="s"/>
      <c r="H382" s="718" t="s"/>
      <c r="I382" s="718" t="s"/>
      <c r="J382" s="718" t="s"/>
      <c r="K382" s="718" t="s"/>
      <c r="L382" s="718" t="s"/>
    </row>
    <row r="383" spans="1:12">
      <c r="A383" s="719" t="s">
        <v>1579</v>
      </c>
      <c r="B383" s="720" t="s">
        <v>2340</v>
      </c>
      <c r="C383" s="721" t="s">
        <v>2341</v>
      </c>
      <c r="D383" s="720" t="s">
        <v>894</v>
      </c>
      <c r="E383" s="718" t="s"/>
      <c r="F383" s="718" t="s"/>
      <c r="G383" s="718" t="s"/>
      <c r="H383" s="718" t="s"/>
      <c r="I383" s="718" t="s"/>
      <c r="J383" s="718" t="s"/>
      <c r="K383" s="718" t="s"/>
      <c r="L383" s="718" t="s"/>
    </row>
    <row r="384" spans="1:12">
      <c r="A384" s="719" t="s">
        <v>1579</v>
      </c>
      <c r="B384" s="720" t="s">
        <v>2342</v>
      </c>
      <c r="C384" s="721" t="s">
        <v>2343</v>
      </c>
      <c r="D384" s="720" t="s">
        <v>894</v>
      </c>
      <c r="E384" s="718" t="s"/>
      <c r="F384" s="718" t="s"/>
      <c r="G384" s="718" t="s"/>
      <c r="H384" s="718" t="s"/>
      <c r="I384" s="718" t="s"/>
      <c r="J384" s="718" t="s"/>
      <c r="K384" s="718" t="s"/>
      <c r="L384" s="718" t="s"/>
    </row>
    <row r="385" spans="1:12">
      <c r="A385" s="719" t="s">
        <v>1579</v>
      </c>
      <c r="B385" s="720" t="s">
        <v>2344</v>
      </c>
      <c r="C385" s="721" t="s">
        <v>2345</v>
      </c>
      <c r="D385" s="720" t="s">
        <v>894</v>
      </c>
      <c r="E385" s="718" t="s"/>
      <c r="F385" s="718" t="s"/>
      <c r="G385" s="718" t="s"/>
      <c r="H385" s="718" t="s"/>
      <c r="I385" s="718" t="s"/>
      <c r="J385" s="718" t="s"/>
      <c r="K385" s="718" t="s"/>
      <c r="L385" s="718" t="s"/>
    </row>
    <row r="386" spans="1:12">
      <c r="A386" s="719" t="s">
        <v>1579</v>
      </c>
      <c r="B386" s="720" t="s">
        <v>2346</v>
      </c>
      <c r="C386" s="721" t="s">
        <v>2347</v>
      </c>
      <c r="D386" s="720" t="s">
        <v>894</v>
      </c>
      <c r="E386" s="718" t="s"/>
      <c r="F386" s="718" t="s"/>
      <c r="G386" s="718" t="s"/>
      <c r="H386" s="718" t="s"/>
      <c r="I386" s="718" t="s"/>
      <c r="J386" s="718" t="s"/>
      <c r="K386" s="718" t="s"/>
      <c r="L386" s="718" t="s"/>
    </row>
    <row r="387" spans="1:12">
      <c r="A387" s="719" t="s">
        <v>1579</v>
      </c>
      <c r="B387" s="720" t="s">
        <v>581</v>
      </c>
      <c r="C387" s="721" t="s">
        <v>2348</v>
      </c>
      <c r="D387" s="720" t="s">
        <v>894</v>
      </c>
      <c r="E387" s="718" t="s"/>
      <c r="F387" s="718" t="s"/>
      <c r="G387" s="718" t="s"/>
      <c r="H387" s="718" t="s"/>
      <c r="I387" s="718" t="s"/>
      <c r="J387" s="718" t="s"/>
      <c r="K387" s="718" t="s"/>
      <c r="L387" s="718" t="s"/>
    </row>
    <row r="388" spans="1:12">
      <c r="A388" s="719" t="s">
        <v>1579</v>
      </c>
      <c r="B388" s="720" t="s">
        <v>2349</v>
      </c>
      <c r="C388" s="721" t="s">
        <v>2350</v>
      </c>
      <c r="D388" s="720" t="s">
        <v>894</v>
      </c>
      <c r="E388" s="718" t="s"/>
      <c r="F388" s="718" t="s"/>
      <c r="G388" s="718" t="s"/>
      <c r="H388" s="718" t="s"/>
      <c r="I388" s="718" t="s"/>
      <c r="J388" s="718" t="s"/>
      <c r="K388" s="718" t="s"/>
      <c r="L388" s="718" t="s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2026-10-13T13:22:13Z</dcterms:created>
  <dcterms:modified xsi:type="dcterms:W3CDTF">2026-10-13T13:22:13Z</dcterms:modified>
</cp:coreProperties>
</file>