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最新数据" sheetId="1" state="visible" r:id="rId1"/>
    <sheet xmlns:r="http://schemas.openxmlformats.org/officeDocument/2006/relationships" name="前一日数据" sheetId="2" state="visible" r:id="rId2"/>
  </sheets>
  <definedNames/>
  <calcPr calcId="191029" fullCalcOnLoad="1" concurrentManualCount="16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mm/dd/yyyy"/>
    <numFmt numFmtId="166" formatCode="0.00_ "/>
  </numFmts>
  <fonts count="10">
    <font>
      <name val="宋体"/>
      <family val="2"/>
      <color theme="1"/>
      <sz val="11"/>
      <scheme val="minor"/>
    </font>
    <font>
      <name val="Microsoft YaHei"/>
      <charset val="134"/>
      <family val="2"/>
      <sz val="11"/>
    </font>
    <font>
      <name val="Microsoft YaHei"/>
      <charset val="134"/>
      <family val="2"/>
      <b val="1"/>
      <color rgb="FFFFFFFF"/>
      <sz val="11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等线"/>
      <charset val="134"/>
      <sz val="11"/>
    </font>
    <font>
      <name val="楷体"/>
      <charset val="134"/>
      <b val="1"/>
      <color rgb="FF000000"/>
      <sz val="20"/>
    </font>
    <font>
      <name val="仿宋"/>
      <charset val="134"/>
      <b val="1"/>
      <color rgb="FF000000"/>
      <sz val="16"/>
    </font>
    <font>
      <name val="等线"/>
      <charset val="134"/>
      <family val="3"/>
      <color rgb="FF000000"/>
      <sz val="16"/>
    </font>
    <font>
      <name val="仿宋"/>
      <charset val="134"/>
      <family val="3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3" fillId="0" borderId="0"/>
    <xf numFmtId="0" fontId="3" fillId="0" borderId="0"/>
    <xf numFmtId="0" fontId="5" fillId="0" borderId="0" applyAlignment="1">
      <alignment vertical="center"/>
    </xf>
  </cellStyleXfs>
  <cellXfs count="18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1"/>
    <xf numFmtId="0" fontId="3" fillId="0" borderId="0" pivotButton="0" quotePrefix="0" xfId="1"/>
    <xf numFmtId="0" fontId="2" fillId="2" borderId="0" applyAlignment="1" pivotButton="0" quotePrefix="0" xfId="1">
      <alignment vertical="center" wrapText="1"/>
    </xf>
    <xf numFmtId="165" fontId="8" fillId="0" borderId="1" applyAlignment="1" pivotButton="0" quotePrefix="0" xfId="2">
      <alignment horizontal="center" vertical="center"/>
    </xf>
    <xf numFmtId="0" fontId="6" fillId="0" borderId="1" applyAlignment="1" pivotButton="0" quotePrefix="0" xfId="2">
      <alignment horizontal="center" vertical="center"/>
    </xf>
    <xf numFmtId="0" fontId="7" fillId="0" borderId="1" applyAlignment="1" pivotButton="0" quotePrefix="0" xfId="2">
      <alignment vertical="center"/>
    </xf>
    <xf numFmtId="166" fontId="7" fillId="0" borderId="1" applyAlignment="1" pivotButton="0" quotePrefix="0" xfId="2">
      <alignment vertical="center"/>
    </xf>
    <xf numFmtId="166" fontId="7" fillId="0" borderId="1" applyAlignment="1" pivotButton="0" quotePrefix="0" xfId="0">
      <alignment vertical="center"/>
    </xf>
    <xf numFmtId="10" fontId="7" fillId="0" borderId="1" applyAlignment="1" pivotButton="0" quotePrefix="0" xfId="2">
      <alignment vertical="center"/>
    </xf>
    <xf numFmtId="0" fontId="9" fillId="0" borderId="1" applyAlignment="1" pivotButton="0" quotePrefix="0" xfId="2">
      <alignment horizontal="center" vertical="center" wrapText="1"/>
    </xf>
    <xf numFmtId="0" fontId="3" fillId="0" borderId="1" pivotButton="0" quotePrefix="0" xfId="1"/>
    <xf numFmtId="165" fontId="8" fillId="0" borderId="1" applyAlignment="1" pivotButton="0" quotePrefix="0" xfId="2">
      <alignment horizontal="center" vertical="center"/>
    </xf>
    <xf numFmtId="164" fontId="1" fillId="0" borderId="0" pivotButton="0" quotePrefix="0" xfId="1"/>
    <xf numFmtId="0" fontId="0" fillId="0" borderId="4" pivotButton="0" quotePrefix="0" xfId="0"/>
    <xf numFmtId="166" fontId="7" fillId="0" borderId="1" applyAlignment="1" pivotButton="0" quotePrefix="0" xfId="2">
      <alignment vertical="center"/>
    </xf>
    <xf numFmtId="166" fontId="7" fillId="0" borderId="1" applyAlignment="1" pivotButton="0" quotePrefix="0" xfId="0">
      <alignment vertical="center"/>
    </xf>
  </cellXfs>
  <cellStyles count="3">
    <cellStyle name="常规" xfId="0" builtinId="0"/>
    <cellStyle name="Normal" xfId="1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tabSelected="1" workbookViewId="0">
      <pane ySplit="2" topLeftCell="A3" activePane="bottomLeft" state="frozen"/>
      <selection pane="bottomLeft" activeCell="C13" sqref="C13"/>
    </sheetView>
  </sheetViews>
  <sheetFormatPr baseColWidth="8" defaultRowHeight="13.5"/>
  <cols>
    <col width="43" customWidth="1" min="1" max="1"/>
    <col width="28" customWidth="1" min="2" max="2"/>
    <col width="86" customWidth="1" min="3" max="3"/>
    <col width="3" customWidth="1" min="4" max="8"/>
    <col width="18" customWidth="1" min="9" max="9"/>
  </cols>
  <sheetData>
    <row r="1" ht="29" customHeight="1">
      <c r="A1" s="13" t="n"/>
      <c r="B1" s="13" t="n"/>
      <c r="C1" s="13" t="n"/>
      <c r="D1" s="2" t="n"/>
      <c r="E1" s="2" t="n"/>
      <c r="F1" s="2" t="n"/>
      <c r="G1" s="2" t="n"/>
      <c r="H1" s="2" t="n"/>
      <c r="I1" s="14" t="n"/>
    </row>
    <row r="2" ht="29" customHeight="1">
      <c r="A2" s="6" t="inlineStr">
        <is>
          <t>销售交易部盈利表</t>
        </is>
      </c>
      <c r="B2" s="15" t="n"/>
      <c r="C2" s="13" t="n"/>
      <c r="D2" s="4" t="n"/>
      <c r="E2" s="4" t="n"/>
      <c r="F2" s="4" t="n"/>
      <c r="G2" s="4" t="n"/>
      <c r="H2" s="4" t="n"/>
      <c r="I2" s="4" t="n"/>
    </row>
    <row r="3" ht="29" customHeight="1">
      <c r="A3" s="7" t="inlineStr">
        <is>
          <t>当日收益（万元）</t>
        </is>
      </c>
      <c r="B3" s="16" t="n"/>
      <c r="C3" s="2" t="n"/>
      <c r="D3" s="2" t="n"/>
      <c r="E3" s="2" t="n"/>
      <c r="F3" s="2" t="n"/>
      <c r="G3" s="2" t="n"/>
      <c r="H3" s="2" t="n"/>
      <c r="I3" s="2" t="n"/>
    </row>
    <row r="4" ht="29" customHeight="1">
      <c r="A4" s="7" t="inlineStr">
        <is>
          <t>本年总收益（万元）</t>
        </is>
      </c>
      <c r="B4" s="16">
        <f>IF(AND(ISNUMBER(B3),ISNUMBER(前一日数据!B4)),B3+前一日数据!B4,"待补收益")</f>
        <v/>
      </c>
      <c r="C4" s="2" t="n"/>
      <c r="D4" s="2" t="n"/>
      <c r="E4" s="2" t="n"/>
      <c r="F4" s="2" t="n"/>
      <c r="G4" s="2" t="n"/>
      <c r="H4" s="2" t="n"/>
      <c r="I4" s="2" t="n"/>
    </row>
    <row r="5" ht="29" customHeight="1">
      <c r="A5" s="7" t="inlineStr">
        <is>
          <t>本月截至目前应缴税费（万元）</t>
        </is>
      </c>
      <c r="B5" s="16" t="n"/>
      <c r="C5" s="2" t="n"/>
      <c r="D5" s="2" t="n"/>
      <c r="E5" s="2" t="n"/>
      <c r="F5" s="2" t="n"/>
      <c r="G5" s="2" t="n"/>
      <c r="H5" s="2" t="n"/>
      <c r="I5" s="2" t="n"/>
    </row>
    <row r="6" ht="29" customHeight="1">
      <c r="A6" s="7" t="inlineStr">
        <is>
          <t>本年累计税费（万元）</t>
        </is>
      </c>
      <c r="B6" s="17" t="n"/>
      <c r="C6" s="2" t="n"/>
      <c r="D6" s="2" t="n"/>
      <c r="E6" s="2" t="n"/>
      <c r="F6" s="2" t="n"/>
      <c r="G6" s="2" t="n"/>
      <c r="H6" s="2" t="n"/>
      <c r="I6" s="2" t="n"/>
    </row>
    <row r="7" ht="29" customHeight="1">
      <c r="A7" s="7" t="inlineStr">
        <is>
          <t>当日交易量（亿元）</t>
        </is>
      </c>
      <c r="B7" s="16" t="n"/>
      <c r="C7" s="2" t="n"/>
      <c r="D7" s="2" t="n"/>
      <c r="E7" s="2" t="n"/>
      <c r="F7" s="2" t="n"/>
      <c r="G7" s="2" t="n"/>
      <c r="H7" s="2" t="n"/>
      <c r="I7" s="2" t="n"/>
    </row>
    <row r="8" ht="29" customHeight="1">
      <c r="A8" s="7" t="inlineStr">
        <is>
          <t>本年累计交易量（亿元）</t>
        </is>
      </c>
      <c r="B8" s="16">
        <f>IF(ISNUMBER(前一日数据!B8),B7+前一日数据!B8,"待补前日累计")</f>
        <v/>
      </c>
      <c r="C8" s="2" t="n"/>
      <c r="D8" s="2" t="n"/>
      <c r="E8" s="2" t="n"/>
      <c r="F8" s="2" t="n"/>
      <c r="G8" s="2" t="n"/>
      <c r="H8" s="2" t="n"/>
      <c r="I8" s="2" t="n"/>
    </row>
    <row r="9" ht="29" customHeight="1">
      <c r="A9" s="7" t="inlineStr">
        <is>
          <t>本年度日均占资（亿元）</t>
        </is>
      </c>
      <c r="B9" s="16" t="n"/>
      <c r="C9" s="2" t="n"/>
      <c r="D9" s="2" t="n"/>
      <c r="E9" s="2" t="n"/>
      <c r="F9" s="2" t="n"/>
      <c r="G9" s="2" t="n"/>
      <c r="H9" s="2" t="n"/>
      <c r="I9" s="2" t="n"/>
    </row>
    <row r="10" ht="29" customHeight="1">
      <c r="A10" s="7" t="inlineStr">
        <is>
          <t>时点占资（亿元）</t>
        </is>
      </c>
      <c r="B10" s="16" t="n"/>
      <c r="C10" s="2" t="n"/>
      <c r="D10" s="2" t="n"/>
      <c r="E10" s="2" t="n"/>
      <c r="F10" s="2" t="n"/>
      <c r="G10" s="2" t="n"/>
      <c r="H10" s="2" t="n"/>
      <c r="I10" s="2" t="n"/>
    </row>
    <row r="11" ht="29" customHeight="1">
      <c r="A11" s="7" t="inlineStr">
        <is>
          <t>当日日终持仓（亿元）</t>
        </is>
      </c>
      <c r="B11" s="16" t="n"/>
      <c r="C11" s="2" t="n"/>
      <c r="D11" s="2" t="n"/>
      <c r="E11" s="2" t="n"/>
      <c r="F11" s="2" t="n"/>
      <c r="G11" s="2" t="n"/>
      <c r="H11" s="2" t="n"/>
      <c r="I11" s="2" t="n"/>
    </row>
    <row r="12" ht="29" customHeight="1">
      <c r="A12" s="7" t="inlineStr">
        <is>
          <t>绝对收益率</t>
        </is>
      </c>
      <c r="B12" s="10">
        <f>IF(AND(ISNUMBER(B4),ISNUMBER(B9)),IF(B9=0,"缺数据",B4/B9/10000),"缺数据")</f>
        <v/>
      </c>
      <c r="C12" s="2" t="n"/>
      <c r="D12" s="2" t="n"/>
      <c r="E12" s="2" t="n"/>
      <c r="F12" s="2" t="n"/>
      <c r="G12" s="2" t="n"/>
      <c r="H12" s="2" t="n"/>
      <c r="I12" s="2" t="n"/>
    </row>
    <row r="13" ht="29" customHeight="1">
      <c r="A13" s="7" t="inlineStr">
        <is>
          <t>年化收益率</t>
        </is>
      </c>
      <c r="B13" s="10">
        <f>IF(ISNUMBER(B12),B12*365/(A1-C1),"缺数据")</f>
        <v/>
      </c>
      <c r="C13" s="2" t="n"/>
      <c r="D13" s="2" t="n"/>
      <c r="E13" s="2" t="n"/>
      <c r="F13" s="2" t="n"/>
      <c r="G13" s="2" t="n"/>
      <c r="H13" s="2" t="n"/>
      <c r="I13" s="2" t="n"/>
    </row>
    <row r="14" ht="110" customHeight="1">
      <c r="A14" s="11" t="inlineStr">
        <is>
          <t>注：1.收益统计口径中涵盖承担市场风险的部分占资业务，不承担市场风险的占资业务，在卖出完成后统计到收益项内。2.收益统计口径未包含自有资金使用成本、应交税费、营业支出等扣减项。</t>
        </is>
      </c>
      <c r="B14" s="12" t="n"/>
      <c r="C14" s="3" t="n"/>
      <c r="D14" s="3" t="n"/>
      <c r="E14" s="3" t="n"/>
      <c r="F14" s="3" t="n"/>
      <c r="G14" s="3" t="n"/>
      <c r="H14" s="3" t="n"/>
      <c r="I14" s="3" t="n"/>
    </row>
    <row r="15" ht="2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9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</sheetData>
  <mergeCells count="1">
    <mergeCell ref="A2:B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B13" sqref="B13"/>
    </sheetView>
  </sheetViews>
  <sheetFormatPr baseColWidth="8" defaultRowHeight="13.5"/>
  <cols>
    <col width="43" customWidth="1" min="1" max="1"/>
    <col width="28" customWidth="1" min="2" max="2"/>
    <col width="86" customWidth="1" min="3" max="3"/>
    <col width="3" customWidth="1" min="4" max="8"/>
    <col width="18" customWidth="1" min="9" max="9"/>
  </cols>
  <sheetData>
    <row r="1" ht="29" customHeight="1">
      <c r="A1" s="13" t="n"/>
      <c r="B1" s="13" t="n"/>
      <c r="C1" s="2" t="n"/>
      <c r="D1" s="2" t="n"/>
      <c r="E1" s="2" t="n"/>
      <c r="F1" s="2" t="n"/>
      <c r="G1" s="2" t="n"/>
      <c r="H1" s="2" t="n"/>
      <c r="I1" s="14" t="n"/>
    </row>
    <row r="2" ht="29" customHeight="1">
      <c r="A2" s="6" t="inlineStr">
        <is>
          <t>销售交易部盈利表</t>
        </is>
      </c>
      <c r="B2" s="15" t="n"/>
      <c r="C2" s="4" t="n"/>
      <c r="D2" s="4" t="n"/>
      <c r="E2" s="4" t="n"/>
      <c r="F2" s="4" t="n"/>
      <c r="G2" s="4" t="n"/>
      <c r="H2" s="4" t="n"/>
      <c r="I2" s="4" t="n"/>
    </row>
    <row r="3" ht="29" customHeight="1">
      <c r="A3" s="7" t="inlineStr">
        <is>
          <t>当日收益（万元）</t>
        </is>
      </c>
      <c r="B3" s="16" t="n"/>
      <c r="C3" s="2" t="n"/>
      <c r="D3" s="2" t="n"/>
      <c r="E3" s="2" t="n"/>
      <c r="F3" s="2" t="n"/>
      <c r="G3" s="2" t="n"/>
      <c r="H3" s="2" t="n"/>
      <c r="I3" s="2" t="n"/>
    </row>
    <row r="4" ht="29" customHeight="1">
      <c r="A4" s="7" t="inlineStr">
        <is>
          <t>本年总收益（万元）</t>
        </is>
      </c>
      <c r="B4" s="16" t="n"/>
      <c r="C4" s="2" t="n"/>
      <c r="D4" s="2" t="n"/>
      <c r="E4" s="2" t="n"/>
      <c r="F4" s="2" t="n"/>
      <c r="G4" s="2" t="n"/>
      <c r="H4" s="2" t="n"/>
      <c r="I4" s="2" t="n"/>
    </row>
    <row r="5" ht="29" customHeight="1">
      <c r="A5" s="7" t="inlineStr">
        <is>
          <t>本月截至目前应缴税费（万元）</t>
        </is>
      </c>
      <c r="B5" s="16" t="n"/>
      <c r="C5" s="2" t="n"/>
      <c r="D5" s="2" t="n"/>
      <c r="E5" s="2" t="n"/>
      <c r="F5" s="2" t="n"/>
      <c r="G5" s="2" t="n"/>
      <c r="H5" s="2" t="n"/>
      <c r="I5" s="2" t="n"/>
    </row>
    <row r="6" ht="29" customHeight="1">
      <c r="A6" s="7" t="inlineStr">
        <is>
          <t>本年累计税费（万元）</t>
        </is>
      </c>
      <c r="B6" s="17" t="n"/>
      <c r="C6" s="2" t="n"/>
      <c r="D6" s="2" t="n"/>
      <c r="E6" s="2" t="n"/>
      <c r="F6" s="2" t="n"/>
      <c r="G6" s="2" t="n"/>
      <c r="H6" s="2" t="n"/>
      <c r="I6" s="2" t="n"/>
    </row>
    <row r="7" ht="29" customHeight="1">
      <c r="A7" s="7" t="inlineStr">
        <is>
          <t>当日交易量（亿元）</t>
        </is>
      </c>
      <c r="B7" s="16" t="n"/>
      <c r="C7" s="2" t="n"/>
      <c r="D7" s="2" t="n"/>
      <c r="E7" s="2" t="n"/>
      <c r="F7" s="2" t="n"/>
      <c r="G7" s="2" t="n"/>
      <c r="H7" s="2" t="n"/>
      <c r="I7" s="2" t="n"/>
    </row>
    <row r="8" ht="29" customHeight="1">
      <c r="A8" s="7" t="inlineStr">
        <is>
          <t>本年累计交易量（亿元）</t>
        </is>
      </c>
      <c r="B8" s="16" t="n"/>
      <c r="C8" s="2" t="n"/>
      <c r="D8" s="2" t="n"/>
      <c r="E8" s="2" t="n"/>
      <c r="F8" s="2" t="n"/>
      <c r="G8" s="2" t="n"/>
      <c r="H8" s="2" t="n"/>
      <c r="I8" s="2" t="n"/>
    </row>
    <row r="9" ht="29" customHeight="1">
      <c r="A9" s="7" t="inlineStr">
        <is>
          <t>本年度日均占资（亿元）</t>
        </is>
      </c>
      <c r="B9" s="16" t="n"/>
      <c r="C9" s="2" t="n"/>
      <c r="D9" s="2" t="n"/>
      <c r="E9" s="2" t="n"/>
      <c r="F9" s="2" t="n"/>
      <c r="G9" s="2" t="n"/>
      <c r="H9" s="2" t="n"/>
      <c r="I9" s="2" t="n"/>
    </row>
    <row r="10" ht="29" customHeight="1">
      <c r="A10" s="7" t="inlineStr">
        <is>
          <t>时点占资（亿元）</t>
        </is>
      </c>
      <c r="B10" s="16" t="n"/>
      <c r="C10" s="2" t="n"/>
      <c r="D10" s="2" t="n"/>
      <c r="E10" s="2" t="n"/>
      <c r="F10" s="2" t="n"/>
      <c r="G10" s="2" t="n"/>
      <c r="H10" s="2" t="n"/>
      <c r="I10" s="2" t="n"/>
    </row>
    <row r="11" ht="29" customHeight="1">
      <c r="A11" s="7" t="inlineStr">
        <is>
          <t>当日日终持仓（亿元）</t>
        </is>
      </c>
      <c r="B11" s="16" t="n"/>
      <c r="C11" s="2" t="n"/>
      <c r="D11" s="2" t="n"/>
      <c r="E11" s="2" t="n"/>
      <c r="F11" s="2" t="n"/>
      <c r="G11" s="2" t="n"/>
      <c r="H11" s="2" t="n"/>
      <c r="I11" s="2" t="n"/>
    </row>
    <row r="12" ht="29" customHeight="1">
      <c r="A12" s="7" t="inlineStr">
        <is>
          <t>绝对收益率</t>
        </is>
      </c>
      <c r="B12" s="10" t="n"/>
      <c r="C12" s="2" t="n"/>
      <c r="D12" s="2" t="n"/>
      <c r="E12" s="2" t="n"/>
      <c r="F12" s="2" t="n"/>
      <c r="G12" s="2" t="n"/>
      <c r="H12" s="2" t="n"/>
      <c r="I12" s="2" t="n"/>
    </row>
    <row r="13" ht="29" customHeight="1">
      <c r="A13" s="7" t="inlineStr">
        <is>
          <t>年化收益率</t>
        </is>
      </c>
      <c r="B13" s="10" t="n"/>
      <c r="C13" s="2" t="n"/>
      <c r="D13" s="2" t="n"/>
      <c r="E13" s="2" t="n"/>
      <c r="F13" s="2" t="n"/>
      <c r="G13" s="2" t="n"/>
      <c r="H13" s="2" t="n"/>
      <c r="I13" s="2" t="n"/>
    </row>
    <row r="14" ht="29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2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9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 Reporting</dc:creator>
  <dc:title xmlns:dc="http://purl.org/dc/elements/1.1/">销售交易部当日盈利情况空白模板</dc:title>
  <dcterms:created xmlns:dcterms="http://purl.org/dc/terms/" xmlns:xsi="http://www.w3.org/2001/XMLSchema-instance" xsi:type="dcterms:W3CDTF">2026-10-27T02:34:52Z</dcterms:created>
  <dcterms:modified xmlns:dcterms="http://purl.org/dc/terms/" xmlns:xsi="http://www.w3.org/2001/XMLSchema-instance" xsi:type="dcterms:W3CDTF">2026-10-27T02:34:52Z</dcterms:modified>
</cp:coreProperties>
</file>